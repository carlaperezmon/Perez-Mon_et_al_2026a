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ostdoc_2021\who_extra_analyses\who_morphometry\"/>
    </mc:Choice>
  </mc:AlternateContent>
  <xr:revisionPtr revIDLastSave="0" documentId="13_ncr:1_{FE41D039-0FE8-4334-93C3-269C22746859}" xr6:coauthVersionLast="47" xr6:coauthVersionMax="47" xr10:uidLastSave="{00000000-0000-0000-0000-000000000000}"/>
  <bookViews>
    <workbookView xWindow="-110" yWindow="-110" windowWidth="19420" windowHeight="11500" xr2:uid="{F6E9938C-238D-41E9-8ADB-A78F4B01C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<sst xmlns="http://schemas.openxmlformats.org/spreadsheetml/2006/main" count="133" uniqueCount="73">
  <si>
    <t>SDV 6 tablets</t>
  </si>
  <si>
    <t>SDPY-JWG7-T</t>
  </si>
  <si>
    <t>convex</t>
  </si>
  <si>
    <r>
      <rPr>
        <sz val="12"/>
        <color rgb="FFFF0000"/>
        <rFont val="Arial"/>
        <family val="2"/>
      </rPr>
      <t>crossed score line</t>
    </r>
    <r>
      <rPr>
        <sz val="12"/>
        <color rgb="FF000000"/>
        <rFont val="Arial"/>
        <family val="2"/>
      </rPr>
      <t xml:space="preserve"> / no embossing</t>
    </r>
  </si>
  <si>
    <t>QUIN-2CU1-T</t>
  </si>
  <si>
    <t>no embossing / no embossing</t>
  </si>
  <si>
    <t>QUIN-1ACP-T</t>
  </si>
  <si>
    <t>QUIN-X3D7-T</t>
  </si>
  <si>
    <t>QUIN-F2A4-T</t>
  </si>
  <si>
    <t>QUIN-9UJH-T</t>
  </si>
  <si>
    <t>QUIN-Q9RW-T</t>
  </si>
  <si>
    <t>QUIN-TS1C-T</t>
  </si>
  <si>
    <t>QUIN-X136-T</t>
  </si>
  <si>
    <t>QUIN-9AKZ-T</t>
  </si>
  <si>
    <t>W10</t>
  </si>
  <si>
    <t>QUIN-OEPW-T</t>
  </si>
  <si>
    <t>W11</t>
  </si>
  <si>
    <t>QUIN-A5J3-T</t>
  </si>
  <si>
    <t>W12</t>
  </si>
  <si>
    <t>QUIN-2T3Q-T</t>
  </si>
  <si>
    <t>W13</t>
  </si>
  <si>
    <t>QUIN-TLZP-T</t>
  </si>
  <si>
    <t>W14</t>
  </si>
  <si>
    <t>QUIN-NYLO-T</t>
  </si>
  <si>
    <t>W15</t>
  </si>
  <si>
    <t>QUIN-13AM-T</t>
  </si>
  <si>
    <t>W16</t>
  </si>
  <si>
    <t xml:space="preserve">no embossing / no embossing </t>
  </si>
  <si>
    <r>
      <t xml:space="preserve">break line </t>
    </r>
    <r>
      <rPr>
        <sz val="12"/>
        <color theme="1"/>
        <rFont val="Arial"/>
        <family val="2"/>
      </rPr>
      <t xml:space="preserve">/ no embossing </t>
    </r>
  </si>
  <si>
    <r>
      <t>break line</t>
    </r>
    <r>
      <rPr>
        <sz val="12"/>
        <color theme="1"/>
        <rFont val="Arial"/>
        <family val="2"/>
      </rPr>
      <t xml:space="preserve"> / no embossing </t>
    </r>
  </si>
  <si>
    <t>QUIN-LB8K-T</t>
  </si>
  <si>
    <t>W18</t>
  </si>
  <si>
    <t>Flat on top and bottom</t>
  </si>
  <si>
    <r>
      <t xml:space="preserve">score line </t>
    </r>
    <r>
      <rPr>
        <sz val="12"/>
        <color theme="1"/>
        <rFont val="Arial"/>
        <family val="2"/>
      </rPr>
      <t xml:space="preserve">/ no embossing </t>
    </r>
  </si>
  <si>
    <t>QUIN-JECX-T</t>
  </si>
  <si>
    <t>W19</t>
  </si>
  <si>
    <t>QUIN-NPRS-T</t>
  </si>
  <si>
    <t>W20</t>
  </si>
  <si>
    <t>QUIN-MPFL-T</t>
  </si>
  <si>
    <t>W21</t>
  </si>
  <si>
    <t>QUIN-RT91-T</t>
  </si>
  <si>
    <t>W22</t>
  </si>
  <si>
    <t>QUIN-BD0N-T</t>
  </si>
  <si>
    <t>W23</t>
  </si>
  <si>
    <t>lot_id</t>
  </si>
  <si>
    <t>lot_id3</t>
  </si>
  <si>
    <t>tablet_1</t>
  </si>
  <si>
    <t>tablet_2</t>
  </si>
  <si>
    <t>tablet_3</t>
  </si>
  <si>
    <t>tablet_4</t>
  </si>
  <si>
    <t>tablet_5</t>
  </si>
  <si>
    <t>tablet_6</t>
  </si>
  <si>
    <t>tablet_shape</t>
  </si>
  <si>
    <t>W17-W</t>
  </si>
  <si>
    <t>W17-Y</t>
  </si>
  <si>
    <t>score_line_present</t>
  </si>
  <si>
    <t>score_line_type</t>
  </si>
  <si>
    <t>crossed</t>
  </si>
  <si>
    <t>none</t>
  </si>
  <si>
    <t>break</t>
  </si>
  <si>
    <t>score</t>
  </si>
  <si>
    <t>score_line_embossing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</si>
  <si>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</si>
  <si>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</si>
  <si>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</si>
  <si>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</si>
  <si>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</si>
  <si>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</si>
  <si>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</si>
  <si>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</si>
  <si>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</si>
  <si>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AMOX-VYTH_W-T</t>
  </si>
  <si>
    <t>AMOX-VYTH_Y-T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</si>
</sst>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782170"/>
      <name val="Arial"/>
      <family val="2"/>
    </font>
    <font>
      <b/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782170"/>
      <name val="Calibri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8">
    <xf numFmtId="0" fontId="0" fillId="0" borderId="0" xfId="0"/>
    <xf numFmtId="1" fontId="1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wrapText="1"/>
    </xf>
    <xf numFmtId="1" fontId="1" fillId="3" borderId="2" xfId="0" applyNumberFormat="1" applyFont="1" applyFill="1" applyBorder="1" applyAlignment="1">
      <alignment horizontal="left" vertical="center" wrapText="1"/>
    </xf>
    <xf numFmtId="0" fontId="2" fillId="0" borderId="1" xfId="0" applyFont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3" borderId="3" xfId="0" applyFont="1" applyFill="1" applyBorder="1" applyAlignment="1">
      <alignment wrapText="1"/>
    </xf>
    <xf numFmtId="1" fontId="1" fillId="0" borderId="1" xfId="0" applyNumberFormat="1" applyFont="1" applyBorder="1" applyAlignment="1">
      <alignment horizontal="left" vertical="center" wrapText="1"/>
    </xf>
    <xf numFmtId="164" fontId="1" fillId="0" borderId="4" xfId="0" applyNumberFormat="1" applyFont="1" applyBorder="1"/>
    <xf numFmtId="0" fontId="4" fillId="3" borderId="3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7" fillId="0" borderId="1" xfId="0" applyFont="1" applyBorder="1"/>
    <xf numFmtId="0" fontId="1" fillId="0" borderId="3" xfId="0" applyFont="1" applyBorder="1"/>
    <xf numFmtId="0" fontId="4" fillId="0" borderId="3" xfId="0" applyFont="1" applyBorder="1" applyAlignment="1">
      <alignment wrapText="1"/>
    </xf>
    <xf numFmtId="0" fontId="9" fillId="0" borderId="1" xfId="1" applyFont="1" applyBorder="1"/>
  </cellXfs>
  <cellStyles count="2">
    <cellStyle name="Normal" xfId="0" builtinId="0"/>
    <cellStyle name="Normal 3" xfId="1" xr:uid="{8E87C8D0-37AD-4848-9616-A8FE8A537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69EC-C231-4AE1-8CF9-2DD443E97C85}">
  <dimension ref="A1:M25"/>
  <sheetViews>
    <sheetView tabSelected="1" topLeftCell="A12" workbookViewId="0">
      <selection activeCell="A19" sqref="A19"/>
    </sheetView>
  </sheetViews>
  <sheetFormatPr defaultRowHeight="14.5" x14ac:dyDescent="0.35"/>
  <cols>
    <col min="1" max="1" width="20.453125" customWidth="1"/>
    <col min="2" max="2" width="36.81640625" customWidth="1"/>
    <col min="3" max="3" width="10.26953125" customWidth="1"/>
    <col min="8" max="8" width="10.7265625" customWidth="1"/>
    <col min="9" max="9" width="12.26953125" customWidth="1"/>
    <col min="10" max="10" width="16" customWidth="1"/>
    <col min="11" max="12" width="20.1796875" customWidth="1"/>
    <col min="13" max="13" width="24.7265625" customWidth="1"/>
  </cols>
  <sheetData>
    <row r="1" spans="1:13" ht="31" x14ac:dyDescent="0.35">
      <c r="A1" s="1" t="s">
        <v>44</v>
      </c>
      <c r="B1" s="2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0</v>
      </c>
      <c r="J1" s="1" t="s">
        <v>52</v>
      </c>
      <c r="K1" s="1" t="s">
        <v>55</v>
      </c>
      <c r="L1" s="1" t="s">
        <v>56</v>
      </c>
      <c r="M1" s="1" t="s">
        <v>61</v>
      </c>
    </row>
    <row r="2" spans="1:13" ht="31" x14ac:dyDescent="0.35">
      <c r="A2" s="4" t="s">
        <v>1</v>
      </c>
      <c r="B2" s="5" t="s">
        <v>62</v>
      </c>
      <c r="C2" s="6">
        <v>12.6015</v>
      </c>
      <c r="D2" s="6">
        <v>12.61</v>
      </c>
      <c r="E2" s="6">
        <v>12.599</v>
      </c>
      <c r="F2" s="6">
        <v>12.61</v>
      </c>
      <c r="G2" s="6">
        <v>12.585000000000001</v>
      </c>
      <c r="H2" s="6">
        <v>12.606</v>
      </c>
      <c r="I2" s="6">
        <f>_xlfn.STDEV.S(C2:H2)</f>
        <v>9.4043429683660952E-3</v>
      </c>
      <c r="J2" s="7" t="s">
        <v>2</v>
      </c>
      <c r="K2" s="15">
        <v>1</v>
      </c>
      <c r="L2" s="15" t="s">
        <v>57</v>
      </c>
      <c r="M2" s="8" t="s">
        <v>3</v>
      </c>
    </row>
    <row r="3" spans="1:13" ht="31" x14ac:dyDescent="0.35">
      <c r="A3" s="4" t="s">
        <v>4</v>
      </c>
      <c r="B3" s="5" t="s">
        <v>63</v>
      </c>
      <c r="C3" s="6">
        <v>11.466000000000001</v>
      </c>
      <c r="D3" s="6">
        <v>11.4695</v>
      </c>
      <c r="E3" s="6">
        <v>11.469999999999999</v>
      </c>
      <c r="F3" s="6">
        <v>11.426500000000001</v>
      </c>
      <c r="G3" s="6">
        <v>11.4405</v>
      </c>
      <c r="H3" s="6">
        <v>11.4405</v>
      </c>
      <c r="I3" s="6">
        <f t="shared" ref="I3:I20" si="0">_xlfn.STDEV.S(C3:H3)</f>
        <v>1.8659224707009019E-2</v>
      </c>
      <c r="J3" s="7" t="s">
        <v>2</v>
      </c>
      <c r="K3" s="15">
        <v>0</v>
      </c>
      <c r="L3" s="15" t="s">
        <v>58</v>
      </c>
      <c r="M3" s="8" t="s">
        <v>5</v>
      </c>
    </row>
    <row r="4" spans="1:13" ht="31" x14ac:dyDescent="0.35">
      <c r="A4" s="4" t="s">
        <v>6</v>
      </c>
      <c r="B4" s="5" t="s">
        <v>64</v>
      </c>
      <c r="C4" s="6">
        <v>11.4345</v>
      </c>
      <c r="D4" s="6">
        <v>11.422499999999999</v>
      </c>
      <c r="E4" s="6">
        <v>11.431000000000001</v>
      </c>
      <c r="F4" s="6">
        <v>11.4145</v>
      </c>
      <c r="G4" s="6">
        <v>11.416</v>
      </c>
      <c r="H4" s="6">
        <v>11.4155</v>
      </c>
      <c r="I4" s="6">
        <f t="shared" si="0"/>
        <v>8.6178110136314826E-3</v>
      </c>
      <c r="J4" s="7" t="s">
        <v>2</v>
      </c>
      <c r="K4" s="15">
        <v>0</v>
      </c>
      <c r="L4" s="15" t="s">
        <v>58</v>
      </c>
      <c r="M4" s="8" t="s">
        <v>5</v>
      </c>
    </row>
    <row r="5" spans="1:13" ht="31" x14ac:dyDescent="0.35">
      <c r="A5" s="4" t="s">
        <v>7</v>
      </c>
      <c r="B5" s="5" t="s">
        <v>65</v>
      </c>
      <c r="C5" s="6">
        <v>11.64</v>
      </c>
      <c r="D5" s="6">
        <v>11.606999999999999</v>
      </c>
      <c r="E5" s="6">
        <v>11.602</v>
      </c>
      <c r="F5" s="6">
        <v>11.548999999999999</v>
      </c>
      <c r="G5" s="6">
        <v>11.5495</v>
      </c>
      <c r="H5" s="6">
        <v>11.55</v>
      </c>
      <c r="I5" s="6">
        <f t="shared" si="0"/>
        <v>3.8866973983919452E-2</v>
      </c>
      <c r="J5" s="7" t="s">
        <v>2</v>
      </c>
      <c r="K5" s="15">
        <v>0</v>
      </c>
      <c r="L5" s="15" t="s">
        <v>58</v>
      </c>
      <c r="M5" s="8" t="s">
        <v>5</v>
      </c>
    </row>
    <row r="6" spans="1:13" ht="31" x14ac:dyDescent="0.35">
      <c r="A6" s="4" t="s">
        <v>8</v>
      </c>
      <c r="B6" s="5" t="s">
        <v>66</v>
      </c>
      <c r="C6" s="6">
        <v>11.611000000000001</v>
      </c>
      <c r="D6" s="6">
        <v>11.603000000000002</v>
      </c>
      <c r="E6" s="6">
        <v>11.6625</v>
      </c>
      <c r="F6" s="6">
        <v>11.605499999999999</v>
      </c>
      <c r="G6" s="6">
        <v>11.594999999999999</v>
      </c>
      <c r="H6" s="6">
        <v>11.562000000000001</v>
      </c>
      <c r="I6" s="6">
        <f t="shared" si="0"/>
        <v>3.2502307610383231E-2</v>
      </c>
      <c r="J6" s="7" t="s">
        <v>2</v>
      </c>
      <c r="K6" s="15">
        <v>0</v>
      </c>
      <c r="L6" s="15" t="s">
        <v>58</v>
      </c>
      <c r="M6" s="8" t="s">
        <v>5</v>
      </c>
    </row>
    <row r="7" spans="1:13" ht="31" x14ac:dyDescent="0.35">
      <c r="A7" s="4" t="s">
        <v>9</v>
      </c>
      <c r="B7" s="5" t="s">
        <v>67</v>
      </c>
      <c r="C7" s="6">
        <v>11.605499999999999</v>
      </c>
      <c r="D7" s="6">
        <v>11.611499999999999</v>
      </c>
      <c r="E7" s="6">
        <v>11.605499999999999</v>
      </c>
      <c r="F7" s="6">
        <v>11.539</v>
      </c>
      <c r="G7" s="6">
        <v>11.544</v>
      </c>
      <c r="H7" s="6">
        <v>11.5365</v>
      </c>
      <c r="I7" s="6">
        <f t="shared" si="0"/>
        <v>3.7205734325055799E-2</v>
      </c>
      <c r="J7" s="7" t="s">
        <v>2</v>
      </c>
      <c r="K7" s="15">
        <v>0</v>
      </c>
      <c r="L7" s="15" t="s">
        <v>58</v>
      </c>
      <c r="M7" s="8" t="s">
        <v>5</v>
      </c>
    </row>
    <row r="8" spans="1:13" ht="31" x14ac:dyDescent="0.35">
      <c r="A8" s="4" t="s">
        <v>10</v>
      </c>
      <c r="B8" s="5" t="s">
        <v>68</v>
      </c>
      <c r="C8" s="6">
        <v>11.651499999999999</v>
      </c>
      <c r="D8" s="6">
        <v>11.6395</v>
      </c>
      <c r="E8" s="6">
        <v>11.644500000000001</v>
      </c>
      <c r="F8" s="6">
        <v>11.5815</v>
      </c>
      <c r="G8" s="6">
        <v>11.576000000000001</v>
      </c>
      <c r="H8" s="6">
        <v>11.579499999999999</v>
      </c>
      <c r="I8" s="6">
        <f t="shared" si="0"/>
        <v>3.6483443733653385E-2</v>
      </c>
      <c r="J8" s="7" t="s">
        <v>2</v>
      </c>
      <c r="K8" s="15">
        <v>0</v>
      </c>
      <c r="L8" s="15" t="s">
        <v>58</v>
      </c>
      <c r="M8" s="8" t="s">
        <v>5</v>
      </c>
    </row>
    <row r="9" spans="1:13" ht="31" x14ac:dyDescent="0.35">
      <c r="A9" s="4" t="s">
        <v>11</v>
      </c>
      <c r="B9" s="5" t="s">
        <v>69</v>
      </c>
      <c r="C9" s="6">
        <v>11.644500000000001</v>
      </c>
      <c r="D9" s="6">
        <v>11.609500000000001</v>
      </c>
      <c r="E9" s="6">
        <v>11.6525</v>
      </c>
      <c r="F9" s="6">
        <v>11.579499999999999</v>
      </c>
      <c r="G9" s="6">
        <v>11.59</v>
      </c>
      <c r="H9" s="6">
        <v>11.536</v>
      </c>
      <c r="I9" s="6">
        <f t="shared" si="0"/>
        <v>4.3402764888887294E-2</v>
      </c>
      <c r="J9" s="7" t="s">
        <v>2</v>
      </c>
      <c r="K9" s="15">
        <v>0</v>
      </c>
      <c r="L9" s="15" t="s">
        <v>58</v>
      </c>
      <c r="M9" s="8" t="s">
        <v>5</v>
      </c>
    </row>
    <row r="10" spans="1:13" ht="31" x14ac:dyDescent="0.35">
      <c r="A10" s="4" t="s">
        <v>12</v>
      </c>
      <c r="B10" s="5" t="s">
        <v>70</v>
      </c>
      <c r="C10" s="6">
        <v>11.612500000000001</v>
      </c>
      <c r="D10" s="6">
        <v>11.6525</v>
      </c>
      <c r="E10" s="6">
        <v>11.651999999999999</v>
      </c>
      <c r="F10" s="6">
        <v>11.599</v>
      </c>
      <c r="G10" s="6">
        <v>11.55</v>
      </c>
      <c r="H10" s="6">
        <v>11.547000000000001</v>
      </c>
      <c r="I10" s="6">
        <f t="shared" si="0"/>
        <v>4.6686900375443902E-2</v>
      </c>
      <c r="J10" s="7" t="s">
        <v>2</v>
      </c>
      <c r="K10" s="15">
        <v>0</v>
      </c>
      <c r="L10" s="15" t="s">
        <v>58</v>
      </c>
      <c r="M10" s="8" t="s">
        <v>5</v>
      </c>
    </row>
    <row r="11" spans="1:13" ht="31" x14ac:dyDescent="0.35">
      <c r="A11" s="4" t="s">
        <v>13</v>
      </c>
      <c r="B11" s="5" t="s">
        <v>14</v>
      </c>
      <c r="C11" s="6">
        <v>11.342500000000001</v>
      </c>
      <c r="D11" s="6">
        <v>11.352</v>
      </c>
      <c r="E11" s="6">
        <v>11.3245</v>
      </c>
      <c r="F11" s="6">
        <v>11.2675</v>
      </c>
      <c r="G11" s="6">
        <v>11.275500000000001</v>
      </c>
      <c r="H11" s="6">
        <v>11.2995</v>
      </c>
      <c r="I11" s="6">
        <f t="shared" si="0"/>
        <v>3.5033912142380094E-2</v>
      </c>
      <c r="J11" s="7" t="s">
        <v>2</v>
      </c>
      <c r="K11" s="15">
        <v>0</v>
      </c>
      <c r="L11" s="15" t="s">
        <v>58</v>
      </c>
      <c r="M11" s="8" t="s">
        <v>5</v>
      </c>
    </row>
    <row r="12" spans="1:13" ht="31" x14ac:dyDescent="0.35">
      <c r="A12" s="4" t="s">
        <v>15</v>
      </c>
      <c r="B12" s="5" t="s">
        <v>16</v>
      </c>
      <c r="C12" s="6">
        <v>11.2225</v>
      </c>
      <c r="D12" s="6">
        <v>11.201000000000001</v>
      </c>
      <c r="E12" s="6">
        <v>11.202</v>
      </c>
      <c r="F12" s="6">
        <v>11.1785</v>
      </c>
      <c r="G12" s="6">
        <v>11.154499999999999</v>
      </c>
      <c r="H12" s="6">
        <v>11.173500000000001</v>
      </c>
      <c r="I12" s="6">
        <f t="shared" si="0"/>
        <v>2.4393988330461368E-2</v>
      </c>
      <c r="J12" s="7" t="s">
        <v>2</v>
      </c>
      <c r="K12" s="15">
        <v>0</v>
      </c>
      <c r="L12" s="15" t="s">
        <v>58</v>
      </c>
      <c r="M12" s="8" t="s">
        <v>5</v>
      </c>
    </row>
    <row r="13" spans="1:13" ht="31" x14ac:dyDescent="0.35">
      <c r="A13" s="4" t="s">
        <v>17</v>
      </c>
      <c r="B13" s="5" t="s">
        <v>18</v>
      </c>
      <c r="C13" s="6">
        <v>11.4345</v>
      </c>
      <c r="D13" s="6">
        <v>11.434999999999999</v>
      </c>
      <c r="E13" s="6">
        <v>11.441500000000001</v>
      </c>
      <c r="F13" s="6">
        <v>11.4275</v>
      </c>
      <c r="G13" s="6">
        <v>11.429500000000001</v>
      </c>
      <c r="H13" s="6">
        <v>11.439</v>
      </c>
      <c r="I13" s="6">
        <f t="shared" si="0"/>
        <v>5.357238094391664E-3</v>
      </c>
      <c r="J13" s="7" t="s">
        <v>2</v>
      </c>
      <c r="K13" s="15">
        <v>0</v>
      </c>
      <c r="L13" s="15" t="s">
        <v>58</v>
      </c>
      <c r="M13" s="8" t="s">
        <v>5</v>
      </c>
    </row>
    <row r="14" spans="1:13" ht="31" x14ac:dyDescent="0.35">
      <c r="A14" s="4" t="s">
        <v>19</v>
      </c>
      <c r="B14" s="5" t="s">
        <v>20</v>
      </c>
      <c r="C14" s="6">
        <v>11.496</v>
      </c>
      <c r="D14" s="6">
        <v>11.501999999999999</v>
      </c>
      <c r="E14" s="6">
        <v>11.504999999999999</v>
      </c>
      <c r="F14" s="6">
        <v>11.446</v>
      </c>
      <c r="G14" s="6">
        <v>11.45</v>
      </c>
      <c r="H14" s="6">
        <v>11.408999999999999</v>
      </c>
      <c r="I14" s="6">
        <f t="shared" si="0"/>
        <v>3.8982047149938241E-2</v>
      </c>
      <c r="J14" s="7" t="s">
        <v>2</v>
      </c>
      <c r="K14" s="15">
        <v>0</v>
      </c>
      <c r="L14" s="15" t="s">
        <v>58</v>
      </c>
      <c r="M14" s="8" t="s">
        <v>5</v>
      </c>
    </row>
    <row r="15" spans="1:13" ht="31" x14ac:dyDescent="0.35">
      <c r="A15" s="4" t="s">
        <v>21</v>
      </c>
      <c r="B15" s="5" t="s">
        <v>22</v>
      </c>
      <c r="C15" s="6">
        <v>11.492000000000001</v>
      </c>
      <c r="D15" s="6">
        <v>11.476500000000001</v>
      </c>
      <c r="E15" s="6">
        <v>11.497999999999999</v>
      </c>
      <c r="F15" s="6">
        <v>11.426500000000001</v>
      </c>
      <c r="G15" s="6">
        <v>11.451499999999999</v>
      </c>
      <c r="H15" s="6">
        <v>11.431000000000001</v>
      </c>
      <c r="I15" s="6">
        <f t="shared" si="0"/>
        <v>3.0775666794834126E-2</v>
      </c>
      <c r="J15" s="7" t="s">
        <v>2</v>
      </c>
      <c r="K15" s="15">
        <v>0</v>
      </c>
      <c r="L15" s="15" t="s">
        <v>58</v>
      </c>
      <c r="M15" s="8" t="s">
        <v>5</v>
      </c>
    </row>
    <row r="16" spans="1:13" ht="31" x14ac:dyDescent="0.35">
      <c r="A16" s="4" t="s">
        <v>23</v>
      </c>
      <c r="B16" s="5" t="s">
        <v>24</v>
      </c>
      <c r="C16" s="6">
        <v>11.4755</v>
      </c>
      <c r="D16" s="6">
        <v>11.497999999999999</v>
      </c>
      <c r="E16" s="6">
        <v>11.475000000000001</v>
      </c>
      <c r="F16" s="6">
        <v>11.408000000000001</v>
      </c>
      <c r="G16" s="6">
        <v>11.41</v>
      </c>
      <c r="H16" s="6">
        <v>11.4</v>
      </c>
      <c r="I16" s="6">
        <f t="shared" si="0"/>
        <v>4.3026057995901118E-2</v>
      </c>
      <c r="J16" s="7" t="s">
        <v>2</v>
      </c>
      <c r="K16" s="15">
        <v>0</v>
      </c>
      <c r="L16" s="15" t="s">
        <v>58</v>
      </c>
      <c r="M16" s="8" t="s">
        <v>5</v>
      </c>
    </row>
    <row r="17" spans="1:13" ht="31" x14ac:dyDescent="0.35">
      <c r="A17" s="9" t="s">
        <v>25</v>
      </c>
      <c r="B17" s="5" t="s">
        <v>26</v>
      </c>
      <c r="C17" s="6">
        <v>11.138500000000001</v>
      </c>
      <c r="D17" s="6">
        <v>11.125499999999999</v>
      </c>
      <c r="E17" s="6">
        <v>11.148999999999999</v>
      </c>
      <c r="F17" s="6">
        <v>11.1525</v>
      </c>
      <c r="G17" s="6">
        <v>11.1165</v>
      </c>
      <c r="H17" s="6">
        <v>11.1995</v>
      </c>
      <c r="I17" s="6">
        <f t="shared" si="0"/>
        <v>2.9172618440357394E-2</v>
      </c>
      <c r="J17" s="7" t="s">
        <v>2</v>
      </c>
      <c r="K17" s="15">
        <v>0</v>
      </c>
      <c r="L17" s="15" t="s">
        <v>58</v>
      </c>
      <c r="M17" s="8" t="s">
        <v>27</v>
      </c>
    </row>
    <row r="18" spans="1:13" ht="31" x14ac:dyDescent="0.35">
      <c r="A18" s="17" t="s">
        <v>71</v>
      </c>
      <c r="B18" s="14" t="s">
        <v>53</v>
      </c>
      <c r="C18" s="10">
        <v>10.176</v>
      </c>
      <c r="D18" s="6">
        <v>10.122499999999999</v>
      </c>
      <c r="E18" s="6">
        <v>10.1195</v>
      </c>
      <c r="F18" s="6">
        <v>10.163499999999999</v>
      </c>
      <c r="G18" s="6">
        <v>10.124000000000001</v>
      </c>
      <c r="H18" s="6">
        <v>10.1715</v>
      </c>
      <c r="I18" s="6">
        <f t="shared" si="0"/>
        <v>2.6813553786595785E-2</v>
      </c>
      <c r="J18" s="7" t="s">
        <v>2</v>
      </c>
      <c r="K18" s="15">
        <v>1</v>
      </c>
      <c r="L18" s="15" t="s">
        <v>59</v>
      </c>
      <c r="M18" s="11" t="s">
        <v>28</v>
      </c>
    </row>
    <row r="19" spans="1:13" ht="31" x14ac:dyDescent="0.35">
      <c r="A19" s="17" t="s">
        <v>72</v>
      </c>
      <c r="B19" s="14" t="s">
        <v>54</v>
      </c>
      <c r="C19" s="10">
        <v>10.176</v>
      </c>
      <c r="D19" s="6">
        <v>10.122499999999999</v>
      </c>
      <c r="E19" s="6">
        <v>10.1195</v>
      </c>
      <c r="F19" s="6">
        <v>10.163499999999999</v>
      </c>
      <c r="G19" s="6">
        <v>10.124000000000001</v>
      </c>
      <c r="H19" s="6">
        <v>10.1715</v>
      </c>
      <c r="I19" s="6">
        <f t="shared" si="0"/>
        <v>2.6813553786595785E-2</v>
      </c>
      <c r="J19" s="7" t="s">
        <v>2</v>
      </c>
      <c r="K19" s="15">
        <v>1</v>
      </c>
      <c r="L19" s="15" t="s">
        <v>59</v>
      </c>
      <c r="M19" s="11" t="s">
        <v>29</v>
      </c>
    </row>
    <row r="20" spans="1:13" ht="31" x14ac:dyDescent="0.35">
      <c r="A20" s="9" t="s">
        <v>30</v>
      </c>
      <c r="B20" s="5" t="s">
        <v>31</v>
      </c>
      <c r="C20" s="10">
        <v>10.099499999999999</v>
      </c>
      <c r="D20" s="6">
        <v>10.100999999999999</v>
      </c>
      <c r="E20" s="6">
        <v>10.083500000000001</v>
      </c>
      <c r="F20" s="6">
        <v>10.09</v>
      </c>
      <c r="G20" s="6">
        <v>10.1045</v>
      </c>
      <c r="H20" s="6">
        <v>10.091999999999999</v>
      </c>
      <c r="I20" s="6">
        <f t="shared" si="0"/>
        <v>7.9083289427451259E-3</v>
      </c>
      <c r="J20" s="12" t="s">
        <v>32</v>
      </c>
      <c r="K20" s="16">
        <v>1</v>
      </c>
      <c r="L20" s="16" t="s">
        <v>60</v>
      </c>
      <c r="M20" s="11" t="s">
        <v>33</v>
      </c>
    </row>
    <row r="21" spans="1:13" ht="31" x14ac:dyDescent="0.35">
      <c r="A21" s="9" t="s">
        <v>34</v>
      </c>
      <c r="B21" s="5" t="s">
        <v>35</v>
      </c>
      <c r="C21" s="10">
        <v>11.121500000000001</v>
      </c>
      <c r="D21" s="6">
        <v>11.114000000000001</v>
      </c>
      <c r="E21" s="6">
        <v>11.062000000000001</v>
      </c>
      <c r="F21" s="6">
        <v>11.097</v>
      </c>
      <c r="G21" s="6">
        <v>11.0945</v>
      </c>
      <c r="H21" s="6">
        <v>11.074</v>
      </c>
      <c r="I21" s="6">
        <f>_xlfn.STDEV.S(C21:H21)</f>
        <v>2.2756683999798175E-2</v>
      </c>
      <c r="J21" s="7" t="s">
        <v>2</v>
      </c>
      <c r="K21" s="15">
        <v>0</v>
      </c>
      <c r="L21" s="15" t="s">
        <v>58</v>
      </c>
      <c r="M21" s="13" t="s">
        <v>5</v>
      </c>
    </row>
    <row r="22" spans="1:13" ht="31" x14ac:dyDescent="0.35">
      <c r="A22" s="9" t="s">
        <v>36</v>
      </c>
      <c r="B22" s="5" t="s">
        <v>37</v>
      </c>
      <c r="C22" s="10">
        <v>11.3285</v>
      </c>
      <c r="D22" s="6">
        <v>11.286999999999999</v>
      </c>
      <c r="E22" s="6">
        <v>11.302499999999998</v>
      </c>
      <c r="F22" s="6">
        <v>11.305</v>
      </c>
      <c r="G22" s="6">
        <v>11.298999999999999</v>
      </c>
      <c r="H22" s="6">
        <v>11.298</v>
      </c>
      <c r="I22" s="6">
        <f>_xlfn.STDEV.S(C22:H22)</f>
        <v>1.3790093062292012E-2</v>
      </c>
      <c r="J22" s="7" t="s">
        <v>2</v>
      </c>
      <c r="K22" s="15">
        <v>0</v>
      </c>
      <c r="L22" s="15" t="s">
        <v>58</v>
      </c>
      <c r="M22" s="8" t="s">
        <v>5</v>
      </c>
    </row>
    <row r="23" spans="1:13" ht="31" x14ac:dyDescent="0.35">
      <c r="A23" s="9" t="s">
        <v>38</v>
      </c>
      <c r="B23" s="5" t="s">
        <v>39</v>
      </c>
      <c r="C23" s="10">
        <v>11.26</v>
      </c>
      <c r="D23" s="6">
        <v>11.312000000000001</v>
      </c>
      <c r="E23" s="6">
        <v>11.244</v>
      </c>
      <c r="F23" s="6">
        <v>11.294</v>
      </c>
      <c r="G23" s="6">
        <v>11.3255</v>
      </c>
      <c r="H23" s="6">
        <v>11.29</v>
      </c>
      <c r="I23" s="6">
        <f t="shared" ref="I23:I25" si="1">_xlfn.STDEV.S(C23:H23)</f>
        <v>3.079353287082668E-2</v>
      </c>
      <c r="J23" s="7" t="s">
        <v>2</v>
      </c>
      <c r="K23" s="15">
        <v>0</v>
      </c>
      <c r="L23" s="15" t="s">
        <v>58</v>
      </c>
      <c r="M23" s="8" t="s">
        <v>5</v>
      </c>
    </row>
    <row r="24" spans="1:13" ht="31" x14ac:dyDescent="0.35">
      <c r="A24" s="9" t="s">
        <v>40</v>
      </c>
      <c r="B24" s="5" t="s">
        <v>41</v>
      </c>
      <c r="C24" s="10">
        <v>11.288499999999999</v>
      </c>
      <c r="D24" s="6">
        <v>11.298500000000001</v>
      </c>
      <c r="E24" s="6">
        <v>11.298999999999999</v>
      </c>
      <c r="F24" s="6">
        <v>11.295999999999999</v>
      </c>
      <c r="G24" s="6">
        <v>11.295</v>
      </c>
      <c r="H24" s="6">
        <v>11.288499999999999</v>
      </c>
      <c r="I24" s="6">
        <f t="shared" si="1"/>
        <v>4.6984039843338144E-3</v>
      </c>
      <c r="J24" s="7" t="s">
        <v>2</v>
      </c>
      <c r="K24" s="15">
        <v>0</v>
      </c>
      <c r="L24" s="15" t="s">
        <v>58</v>
      </c>
      <c r="M24" s="8" t="s">
        <v>5</v>
      </c>
    </row>
    <row r="25" spans="1:13" ht="15.5" x14ac:dyDescent="0.35">
      <c r="A25" s="9" t="s">
        <v>42</v>
      </c>
      <c r="B25" s="5" t="s">
        <v>43</v>
      </c>
      <c r="C25" s="6">
        <v>11.1495</v>
      </c>
      <c r="D25" s="6">
        <v>11.177</v>
      </c>
      <c r="E25" s="6">
        <v>11.099499999999999</v>
      </c>
      <c r="F25" s="6">
        <v>11.073</v>
      </c>
      <c r="G25" s="6">
        <v>11.074999999999999</v>
      </c>
      <c r="H25" s="6">
        <v>11.176500000000001</v>
      </c>
      <c r="I25" s="6">
        <f t="shared" si="1"/>
        <v>4.8601868962692037E-2</v>
      </c>
      <c r="J25" s="7" t="s">
        <v>2</v>
      </c>
      <c r="K25" s="7">
        <v>0</v>
      </c>
      <c r="L25" s="15" t="s">
        <v>58</v>
      </c>
      <c r="M25" s="7" t="s">
        <v>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Perez Mon</dc:creator>
  <cp:lastModifiedBy>Carla Perez Mon</cp:lastModifiedBy>
  <dcterms:created xsi:type="dcterms:W3CDTF">2025-06-06T09:59:46Z</dcterms:created>
  <dcterms:modified xsi:type="dcterms:W3CDTF">2025-07-18T11:58:06Z</dcterms:modified>
</cp:coreProperties>
</file>