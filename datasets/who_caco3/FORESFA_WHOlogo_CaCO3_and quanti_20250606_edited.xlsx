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M:\postdoc_2021\who_extra_analyses\who_caco3\"/>
    </mc:Choice>
  </mc:AlternateContent>
  <xr:revisionPtr revIDLastSave="0" documentId="13_ncr:1_{6CA1BE7A-403B-4A09-AC50-3DC00644634A}" xr6:coauthVersionLast="47" xr6:coauthVersionMax="47" xr10:uidLastSave="{00000000-0000-0000-0000-000000000000}"/>
  <bookViews>
    <workbookView xWindow="-120" yWindow="-120" windowWidth="29040" windowHeight="15720" xr2:uid="{86D2FA86-1A5C-6940-811C-15B1F0D9EB5F}"/>
  </bookViews>
  <sheets>
    <sheet name="IRMS CaCO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U25" i="1"/>
  <c r="U13" i="1"/>
  <c r="T4" i="1"/>
  <c r="L25" i="1"/>
  <c r="L23" i="1"/>
  <c r="L22" i="1"/>
  <c r="L19" i="1"/>
  <c r="L18" i="1"/>
  <c r="L16" i="1"/>
  <c r="L7" i="1"/>
  <c r="L8" i="1"/>
  <c r="L9" i="1"/>
  <c r="L10" i="1"/>
  <c r="L11" i="1"/>
  <c r="L12" i="1"/>
  <c r="L13" i="1"/>
  <c r="L14" i="1"/>
  <c r="L15" i="1"/>
  <c r="L6" i="1"/>
  <c r="L5" i="1"/>
  <c r="L4" i="1"/>
  <c r="L3" i="1"/>
  <c r="L2" i="1"/>
  <c r="H23" i="1"/>
  <c r="H25" i="1"/>
  <c r="H22" i="1"/>
  <c r="H19" i="1"/>
  <c r="H18" i="1"/>
  <c r="H16" i="1"/>
  <c r="H5" i="1"/>
  <c r="H6" i="1"/>
  <c r="H7" i="1"/>
  <c r="H8" i="1"/>
  <c r="H9" i="1"/>
  <c r="H10" i="1"/>
  <c r="H11" i="1"/>
  <c r="H12" i="1"/>
  <c r="H13" i="1"/>
  <c r="H14" i="1"/>
  <c r="H15" i="1"/>
  <c r="H4" i="1"/>
  <c r="H3" i="1"/>
  <c r="H2" i="1"/>
  <c r="T25" i="1"/>
  <c r="S25" i="1"/>
  <c r="V25" i="1" s="1"/>
  <c r="U23" i="1"/>
  <c r="T23" i="1"/>
  <c r="S23" i="1"/>
  <c r="U22" i="1"/>
  <c r="T22" i="1"/>
  <c r="S22" i="1"/>
  <c r="U19" i="1"/>
  <c r="T19" i="1"/>
  <c r="S19" i="1"/>
  <c r="U18" i="1"/>
  <c r="T18" i="1"/>
  <c r="S18" i="1"/>
  <c r="V18" i="1" s="1"/>
  <c r="S3" i="1"/>
  <c r="T3" i="1"/>
  <c r="U3" i="1"/>
  <c r="S4" i="1"/>
  <c r="U4" i="1"/>
  <c r="V4" i="1" s="1"/>
  <c r="S5" i="1"/>
  <c r="T5" i="1"/>
  <c r="U5" i="1"/>
  <c r="S6" i="1"/>
  <c r="T6" i="1"/>
  <c r="U6" i="1"/>
  <c r="S7" i="1"/>
  <c r="T7" i="1"/>
  <c r="U7" i="1"/>
  <c r="S8" i="1"/>
  <c r="T8" i="1"/>
  <c r="U8" i="1"/>
  <c r="S9" i="1"/>
  <c r="T9" i="1"/>
  <c r="U9" i="1"/>
  <c r="S10" i="1"/>
  <c r="T10" i="1"/>
  <c r="U10" i="1"/>
  <c r="S11" i="1"/>
  <c r="T11" i="1"/>
  <c r="U11" i="1"/>
  <c r="S12" i="1"/>
  <c r="T12" i="1"/>
  <c r="U12" i="1"/>
  <c r="S13" i="1"/>
  <c r="T13" i="1"/>
  <c r="S14" i="1"/>
  <c r="T14" i="1"/>
  <c r="U14" i="1"/>
  <c r="S15" i="1"/>
  <c r="T15" i="1"/>
  <c r="U15" i="1"/>
  <c r="S16" i="1"/>
  <c r="T16" i="1"/>
  <c r="U16" i="1"/>
  <c r="U2" i="1"/>
  <c r="T2" i="1"/>
  <c r="W2" i="1" s="1"/>
  <c r="W22" i="1" l="1"/>
  <c r="V7" i="1"/>
  <c r="W3" i="1"/>
  <c r="V11" i="1"/>
  <c r="W9" i="1"/>
  <c r="W13" i="1"/>
  <c r="W4" i="1"/>
  <c r="V10" i="1"/>
  <c r="W14" i="1"/>
  <c r="W5" i="1"/>
  <c r="W12" i="1"/>
  <c r="W8" i="1"/>
  <c r="V3" i="1"/>
  <c r="V16" i="1"/>
  <c r="W15" i="1"/>
  <c r="V6" i="1"/>
  <c r="V15" i="1"/>
  <c r="V14" i="1"/>
  <c r="V19" i="1"/>
  <c r="V2" i="1"/>
  <c r="W6" i="1"/>
  <c r="W10" i="1"/>
  <c r="W19" i="1"/>
  <c r="W7" i="1"/>
  <c r="W11" i="1"/>
  <c r="V12" i="1"/>
  <c r="V9" i="1"/>
  <c r="V8" i="1"/>
  <c r="V5" i="1"/>
  <c r="V23" i="1"/>
  <c r="W16" i="1"/>
  <c r="W23" i="1"/>
  <c r="V13" i="1"/>
  <c r="V22" i="1"/>
  <c r="W18" i="1"/>
  <c r="W25" i="1"/>
  <c r="Y7" i="1"/>
  <c r="Y25" i="1"/>
  <c r="X25" i="1"/>
  <c r="Y23" i="1"/>
  <c r="X23" i="1"/>
  <c r="Y22" i="1"/>
  <c r="X22" i="1"/>
  <c r="Y19" i="1"/>
  <c r="X19" i="1"/>
  <c r="Y18" i="1"/>
  <c r="X18" i="1"/>
  <c r="Y16" i="1"/>
  <c r="X16" i="1"/>
  <c r="Y15" i="1"/>
  <c r="X15" i="1"/>
  <c r="Y14" i="1"/>
  <c r="X14" i="1"/>
  <c r="Y13" i="1"/>
  <c r="X13" i="1"/>
  <c r="Y12" i="1"/>
  <c r="X12" i="1"/>
  <c r="Y11" i="1"/>
  <c r="X11" i="1"/>
  <c r="Y10" i="1"/>
  <c r="X10" i="1"/>
  <c r="Y9" i="1"/>
  <c r="X9" i="1"/>
  <c r="Y8" i="1"/>
  <c r="X8" i="1"/>
  <c r="X7" i="1"/>
  <c r="Y6" i="1"/>
  <c r="X6" i="1"/>
  <c r="Y5" i="1"/>
  <c r="X5" i="1"/>
  <c r="Y4" i="1"/>
  <c r="X4" i="1"/>
  <c r="Y3" i="1"/>
  <c r="X3" i="1"/>
  <c r="Y2" i="1"/>
  <c r="X2" i="1"/>
</calcChain>
</file>

<file path=xl/sharedStrings.xml><?xml version="1.0" encoding="utf-8"?>
<sst xmlns="http://schemas.openxmlformats.org/spreadsheetml/2006/main" count="226" uniqueCount="97">
  <si>
    <t>Vineagar test for calcium carbonate</t>
  </si>
  <si>
    <t>C_mean</t>
  </si>
  <si>
    <t>O_mean</t>
  </si>
  <si>
    <t>SDPY-JWG7-T</t>
  </si>
  <si>
    <t>negative</t>
  </si>
  <si>
    <t>positive</t>
  </si>
  <si>
    <t>A</t>
  </si>
  <si>
    <t>QUIN-2CU1-T</t>
  </si>
  <si>
    <t>positive (++)</t>
  </si>
  <si>
    <t>B</t>
  </si>
  <si>
    <t>QUIN-1ACP-T</t>
  </si>
  <si>
    <t>C</t>
  </si>
  <si>
    <t>QUIN-X3D7-T</t>
  </si>
  <si>
    <t>D</t>
  </si>
  <si>
    <t>QUIN-F2A4-T</t>
  </si>
  <si>
    <t>QUIN-9UJH-T</t>
  </si>
  <si>
    <t>QUIN-Q9RW-T</t>
  </si>
  <si>
    <t>QUIN-TS1C-T</t>
  </si>
  <si>
    <t>QUIN-X136-T</t>
  </si>
  <si>
    <t>QUIN-9AKZ-T</t>
  </si>
  <si>
    <t>positive (looks different)</t>
  </si>
  <si>
    <t>E</t>
  </si>
  <si>
    <t>QUIN-OEPW-T</t>
  </si>
  <si>
    <t>QUIN-A5J3-T</t>
  </si>
  <si>
    <t>QUIN-2T3Q-T</t>
  </si>
  <si>
    <t>QUIN-TLZP-T</t>
  </si>
  <si>
    <t>QUIN-NYLO-T</t>
  </si>
  <si>
    <t>QUIN-13AM-T</t>
  </si>
  <si>
    <t>negative (tbl only swelling, checked with water as control)</t>
  </si>
  <si>
    <t>QUIN-LB8K-T</t>
  </si>
  <si>
    <t>QUIN-JECX-T</t>
  </si>
  <si>
    <t>QUIN-NPRS-T</t>
  </si>
  <si>
    <t>F</t>
  </si>
  <si>
    <t>QUIN-MPFL-T</t>
  </si>
  <si>
    <t>QUIN-RT91-T</t>
  </si>
  <si>
    <t>QUIN-BD0N-T</t>
  </si>
  <si>
    <t>Ampl.4 (1)</t>
  </si>
  <si>
    <t>Ampl.4 (2)</t>
  </si>
  <si>
    <t>Ampl.4 (3)</t>
  </si>
  <si>
    <t>mass (ug) (1)</t>
  </si>
  <si>
    <t>mass (ug) (2)</t>
  </si>
  <si>
    <t>mass (ug) (3)</t>
  </si>
  <si>
    <t>Suggeste groups - C and O and quantity CaCO3 tbd</t>
  </si>
  <si>
    <t>A1</t>
  </si>
  <si>
    <t>A4</t>
  </si>
  <si>
    <t>E1</t>
  </si>
  <si>
    <t>E2</t>
  </si>
  <si>
    <t>E3</t>
  </si>
  <si>
    <t>Sdev (sgnal/mass)</t>
  </si>
  <si>
    <t>Stdev C</t>
  </si>
  <si>
    <t>Stdev O</t>
  </si>
  <si>
    <t>C?</t>
  </si>
  <si>
    <t>A2 ?</t>
  </si>
  <si>
    <t>A3 ?</t>
  </si>
  <si>
    <t>Clustering with maxclust (only quali)</t>
  </si>
  <si>
    <t>HCA group cut 20 (only quali)</t>
  </si>
  <si>
    <t>HCA group cut 10 (only quali)</t>
  </si>
  <si>
    <t>W10</t>
  </si>
  <si>
    <t>W11</t>
  </si>
  <si>
    <t>W12</t>
  </si>
  <si>
    <t>W13</t>
  </si>
  <si>
    <t>W14</t>
  </si>
  <si>
    <t>W15</t>
  </si>
  <si>
    <t>W16</t>
  </si>
  <si>
    <t>W18</t>
  </si>
  <si>
    <t>W19</t>
  </si>
  <si>
    <t>W20</t>
  </si>
  <si>
    <t>W21</t>
  </si>
  <si>
    <t>W22</t>
  </si>
  <si>
    <t>W23</t>
  </si>
  <si>
    <t>Signal/mass ration mean (Ampl.4/mass)</t>
  </si>
  <si>
    <r>
      <t xml:space="preserve">Suggested groups - C and O </t>
    </r>
    <r>
      <rPr>
        <b/>
        <sz val="12"/>
        <color theme="1" tint="0.499984740745262"/>
        <rFont val="Aptos Narrow (Textkörper)"/>
      </rPr>
      <t xml:space="preserve">tbd </t>
    </r>
  </si>
  <si>
    <t>lot_id</t>
  </si>
  <si>
    <t>lot_id3</t>
  </si>
  <si>
    <t>AMOX-VYTH_W-T</t>
  </si>
  <si>
    <t>AMOX-VYTH_Y-T</t>
  </si>
  <si>
    <t>W17-W</t>
  </si>
  <si>
    <t>W17-Y</t>
  </si>
  <si>
    <t>XRD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</si>
  <si>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</si>
  <si>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</si>
  <si>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</si>
  <si>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</si>
  <si>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</si>
  <si>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</si>
  <si>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</si>
  <si>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</si>
  <si>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</si>
  <si>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c_tab1</t>
  </si>
  <si>
    <t>c_tab2</t>
  </si>
  <si>
    <t>c_tab3</t>
  </si>
  <si>
    <t>o_tab1</t>
  </si>
  <si>
    <t>o_tab2</t>
  </si>
  <si>
    <t>o_tab3</t>
  </si>
  <si>
    <t>signalmassratio_tab1</t>
  </si>
  <si>
    <t>signalmassratio_tab2</t>
  </si>
  <si>
    <t>signalmassratio_tab3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</si>
</sst>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8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12"/>
      <color rgb="FFC00000"/>
      <name val="Aptos Narrow"/>
      <scheme val="minor"/>
    </font>
    <font>
      <sz val="11"/>
      <color theme="1"/>
      <name val="Cambria"/>
      <family val="1"/>
    </font>
    <font>
      <b/>
      <sz val="10"/>
      <color rgb="FF3C7D22"/>
      <name val="Calibri"/>
      <family val="2"/>
    </font>
    <font>
      <b/>
      <sz val="10"/>
      <color rgb="FF1E04BC"/>
      <name val="Calibri"/>
      <family val="2"/>
    </font>
    <font>
      <b/>
      <sz val="10"/>
      <color rgb="FFFF0000"/>
      <name val="Calibri"/>
      <family val="2"/>
    </font>
    <font>
      <b/>
      <sz val="10"/>
      <color rgb="FF009900"/>
      <name val="Calibri"/>
      <family val="2"/>
    </font>
    <font>
      <sz val="10"/>
      <color rgb="FF000000"/>
      <name val="Calibri"/>
      <family val="2"/>
    </font>
    <font>
      <b/>
      <sz val="12"/>
      <color theme="8" tint="-0.249977111117893"/>
      <name val="Aptos Narrow"/>
      <scheme val="minor"/>
    </font>
    <font>
      <b/>
      <sz val="12"/>
      <color theme="1" tint="0.499984740745262"/>
      <name val="Aptos Narrow"/>
      <scheme val="minor"/>
    </font>
    <font>
      <b/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0"/>
      <color rgb="FF0070C0"/>
      <name val="MS Sans Serif"/>
      <family val="2"/>
    </font>
    <font>
      <b/>
      <sz val="12"/>
      <color theme="1" tint="0.499984740745262"/>
      <name val="Aptos Narrow (Textkörper)"/>
    </font>
    <font>
      <sz val="12"/>
      <color rgb="FF000000"/>
      <name val="Aptos Narrow"/>
      <family val="2"/>
      <scheme val="minor"/>
    </font>
    <font>
      <b/>
      <sz val="12"/>
      <color rgb="FF782170"/>
      <name val="Aptos Narrow"/>
      <scheme val="minor"/>
    </font>
    <font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rgb="FF000000"/>
      </patternFill>
    </fill>
    <fill>
      <patternFill patternType="solid">
        <fgColor rgb="FFAEFFEE"/>
        <bgColor rgb="FF000000"/>
      </patternFill>
    </fill>
    <fill>
      <patternFill patternType="solid">
        <fgColor rgb="FFD9D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EFFE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EE13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B86F2"/>
        <bgColor indexed="64"/>
      </patternFill>
    </fill>
    <fill>
      <patternFill patternType="solid">
        <fgColor rgb="FFBAB3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6A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84">
    <xf numFmtId="0" fontId="0" fillId="0" borderId="0" xfId="0"/>
    <xf numFmtId="1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" fontId="4" fillId="0" borderId="3" xfId="0" applyNumberFormat="1" applyFont="1" applyBorder="1" applyAlignment="1">
      <alignment horizontal="left" vertical="center" wrapText="1"/>
    </xf>
    <xf numFmtId="0" fontId="5" fillId="6" borderId="1" xfId="0" applyFont="1" applyFill="1" applyBorder="1" applyAlignment="1">
      <alignment wrapText="1"/>
    </xf>
    <xf numFmtId="2" fontId="0" fillId="8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2" fontId="0" fillId="10" borderId="1" xfId="0" applyNumberForma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2" fontId="0" fillId="11" borderId="1" xfId="0" quotePrefix="1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1" fontId="3" fillId="14" borderId="1" xfId="0" applyNumberFormat="1" applyFont="1" applyFill="1" applyBorder="1" applyAlignment="1">
      <alignment horizontal="left" vertical="center" wrapText="1"/>
    </xf>
    <xf numFmtId="0" fontId="0" fillId="5" borderId="1" xfId="0" applyFill="1" applyBorder="1"/>
    <xf numFmtId="0" fontId="6" fillId="5" borderId="1" xfId="0" applyFont="1" applyFill="1" applyBorder="1"/>
    <xf numFmtId="1" fontId="7" fillId="2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/>
    <xf numFmtId="0" fontId="1" fillId="0" borderId="2" xfId="0" applyFont="1" applyBorder="1" applyAlignment="1">
      <alignment vertical="center" wrapText="1"/>
    </xf>
    <xf numFmtId="2" fontId="0" fillId="7" borderId="2" xfId="0" applyNumberFormat="1" applyFill="1" applyBorder="1" applyAlignment="1">
      <alignment horizontal="center"/>
    </xf>
    <xf numFmtId="2" fontId="0" fillId="10" borderId="2" xfId="0" applyNumberFormat="1" applyFill="1" applyBorder="1" applyAlignment="1">
      <alignment horizontal="center"/>
    </xf>
    <xf numFmtId="2" fontId="0" fillId="11" borderId="2" xfId="0" applyNumberFormat="1" applyFill="1" applyBorder="1" applyAlignment="1">
      <alignment horizontal="center"/>
    </xf>
    <xf numFmtId="2" fontId="0" fillId="11" borderId="2" xfId="0" quotePrefix="1" applyNumberFormat="1" applyFill="1" applyBorder="1" applyAlignment="1">
      <alignment horizontal="center"/>
    </xf>
    <xf numFmtId="2" fontId="0" fillId="14" borderId="2" xfId="0" applyNumberFormat="1" applyFill="1" applyBorder="1" applyAlignment="1">
      <alignment horizontal="center"/>
    </xf>
    <xf numFmtId="0" fontId="0" fillId="5" borderId="2" xfId="0" applyFill="1" applyBorder="1"/>
    <xf numFmtId="2" fontId="0" fillId="16" borderId="2" xfId="0" applyNumberFormat="1" applyFill="1" applyBorder="1" applyAlignment="1">
      <alignment horizontal="center"/>
    </xf>
    <xf numFmtId="0" fontId="9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2" fontId="11" fillId="0" borderId="9" xfId="0" applyNumberFormat="1" applyFont="1" applyBorder="1" applyAlignment="1">
      <alignment horizontal="center"/>
    </xf>
    <xf numFmtId="2" fontId="6" fillId="5" borderId="9" xfId="0" applyNumberFormat="1" applyFont="1" applyFill="1" applyBorder="1"/>
    <xf numFmtId="0" fontId="13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2" fillId="18" borderId="11" xfId="0" applyFont="1" applyFill="1" applyBorder="1"/>
    <xf numFmtId="0" fontId="13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2" fillId="18" borderId="13" xfId="0" applyFont="1" applyFill="1" applyBorder="1"/>
    <xf numFmtId="0" fontId="1" fillId="19" borderId="1" xfId="0" applyFont="1" applyFill="1" applyBorder="1" applyAlignment="1">
      <alignment vertical="center" wrapText="1"/>
    </xf>
    <xf numFmtId="0" fontId="18" fillId="0" borderId="1" xfId="0" applyFont="1" applyBorder="1"/>
    <xf numFmtId="0" fontId="6" fillId="0" borderId="2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19" fillId="0" borderId="1" xfId="0" applyNumberFormat="1" applyFont="1" applyBorder="1"/>
    <xf numFmtId="164" fontId="19" fillId="0" borderId="4" xfId="0" applyNumberFormat="1" applyFont="1" applyBorder="1"/>
    <xf numFmtId="2" fontId="6" fillId="0" borderId="2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6" fillId="0" borderId="2" xfId="0" quotePrefix="1" applyNumberFormat="1" applyFont="1" applyBorder="1" applyAlignment="1">
      <alignment horizontal="center"/>
    </xf>
    <xf numFmtId="2" fontId="6" fillId="0" borderId="1" xfId="0" quotePrefix="1" applyNumberFormat="1" applyFont="1" applyBorder="1" applyAlignment="1">
      <alignment horizontal="center"/>
    </xf>
    <xf numFmtId="2" fontId="6" fillId="0" borderId="4" xfId="0" quotePrefix="1" applyNumberFormat="1" applyFont="1" applyBorder="1" applyAlignment="1">
      <alignment horizontal="center"/>
    </xf>
    <xf numFmtId="0" fontId="6" fillId="5" borderId="4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6" fillId="5" borderId="4" xfId="0" applyFont="1" applyFill="1" applyBorder="1"/>
    <xf numFmtId="2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20" fillId="0" borderId="5" xfId="0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0" fontId="21" fillId="0" borderId="8" xfId="1" applyFont="1" applyBorder="1"/>
    <xf numFmtId="0" fontId="21" fillId="0" borderId="1" xfId="1" applyFont="1" applyBorder="1"/>
    <xf numFmtId="0" fontId="22" fillId="0" borderId="1" xfId="0" applyFont="1" applyBorder="1"/>
    <xf numFmtId="2" fontId="22" fillId="0" borderId="1" xfId="0" applyNumberFormat="1" applyFont="1" applyBorder="1"/>
    <xf numFmtId="0" fontId="23" fillId="0" borderId="1" xfId="0" applyFont="1" applyBorder="1"/>
    <xf numFmtId="0" fontId="22" fillId="5" borderId="8" xfId="0" applyFont="1" applyFill="1" applyBorder="1"/>
    <xf numFmtId="0" fontId="22" fillId="5" borderId="1" xfId="0" applyFont="1" applyFill="1" applyBorder="1"/>
    <xf numFmtId="0" fontId="9" fillId="0" borderId="1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9" fillId="12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10" fillId="5" borderId="1" xfId="0" applyFont="1" applyFill="1" applyBorder="1"/>
    <xf numFmtId="0" fontId="19" fillId="9" borderId="1" xfId="0" applyFont="1" applyFill="1" applyBorder="1" applyAlignment="1">
      <alignment horizontal="center" wrapText="1"/>
    </xf>
    <xf numFmtId="0" fontId="19" fillId="5" borderId="1" xfId="0" applyFont="1" applyFill="1" applyBorder="1"/>
    <xf numFmtId="0" fontId="19" fillId="17" borderId="1" xfId="0" applyFont="1" applyFill="1" applyBorder="1" applyAlignment="1">
      <alignment horizontal="center"/>
    </xf>
    <xf numFmtId="0" fontId="19" fillId="15" borderId="1" xfId="0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/>
  </cellXfs>
  <cellStyles count="2">
    <cellStyle name="Normal" xfId="0" builtinId="0"/>
    <cellStyle name="Normal 6" xfId="1" xr:uid="{77BDD69A-60A6-8349-A97E-3C0F4EB358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B328-EB36-2A46-9FF7-9CCD054621C6}">
  <dimension ref="A1:AD25"/>
  <sheetViews>
    <sheetView tabSelected="1" topLeftCell="J1" zoomScale="90" zoomScaleNormal="90" workbookViewId="0">
      <selection activeCell="S1" sqref="S1:U1"/>
    </sheetView>
  </sheetViews>
  <sheetFormatPr defaultColWidth="11.5546875" defaultRowHeight="15"/>
  <cols>
    <col min="1" max="2" width="14.33203125" customWidth="1"/>
    <col min="3" max="3" width="18.44140625" customWidth="1"/>
    <col min="4" max="4" width="16" customWidth="1"/>
    <col min="19" max="19" width="13.44140625" customWidth="1"/>
    <col min="20" max="20" width="14.44140625" customWidth="1"/>
    <col min="21" max="21" width="12" customWidth="1"/>
    <col min="22" max="22" width="14.77734375" customWidth="1"/>
    <col min="23" max="23" width="19.109375" customWidth="1"/>
    <col min="24" max="24" width="12.33203125" customWidth="1"/>
    <col min="25" max="25" width="13.77734375" customWidth="1"/>
    <col min="26" max="26" width="19" customWidth="1"/>
    <col min="27" max="27" width="19.109375" customWidth="1"/>
    <col min="28" max="28" width="18.44140625" customWidth="1"/>
    <col min="29" max="29" width="19" customWidth="1"/>
    <col min="30" max="30" width="21" customWidth="1"/>
  </cols>
  <sheetData>
    <row r="1" spans="1:30" ht="48" thickBot="1">
      <c r="A1" s="1" t="s">
        <v>72</v>
      </c>
      <c r="B1" s="1" t="s">
        <v>73</v>
      </c>
      <c r="C1" s="15" t="s">
        <v>0</v>
      </c>
      <c r="D1" s="16" t="s">
        <v>78</v>
      </c>
      <c r="E1" s="43" t="s">
        <v>88</v>
      </c>
      <c r="F1" s="43" t="s">
        <v>89</v>
      </c>
      <c r="G1" s="43" t="s">
        <v>90</v>
      </c>
      <c r="H1" s="44" t="s">
        <v>49</v>
      </c>
      <c r="I1" s="45" t="s">
        <v>91</v>
      </c>
      <c r="J1" s="45" t="s">
        <v>92</v>
      </c>
      <c r="K1" s="45" t="s">
        <v>93</v>
      </c>
      <c r="L1" s="46" t="s">
        <v>50</v>
      </c>
      <c r="M1" s="62" t="s">
        <v>36</v>
      </c>
      <c r="N1" s="63" t="s">
        <v>37</v>
      </c>
      <c r="O1" s="63" t="s">
        <v>38</v>
      </c>
      <c r="P1" s="63" t="s">
        <v>39</v>
      </c>
      <c r="Q1" s="63" t="s">
        <v>40</v>
      </c>
      <c r="R1" s="63" t="s">
        <v>41</v>
      </c>
      <c r="S1" s="63" t="s">
        <v>94</v>
      </c>
      <c r="T1" s="63" t="s">
        <v>95</v>
      </c>
      <c r="U1" s="63" t="s">
        <v>96</v>
      </c>
      <c r="V1" s="26" t="s">
        <v>48</v>
      </c>
      <c r="W1" s="27" t="s">
        <v>70</v>
      </c>
      <c r="X1" s="18" t="s">
        <v>1</v>
      </c>
      <c r="Y1" s="2" t="s">
        <v>2</v>
      </c>
      <c r="Z1" s="71" t="s">
        <v>71</v>
      </c>
      <c r="AA1" s="44" t="s">
        <v>42</v>
      </c>
      <c r="AB1" s="41" t="s">
        <v>54</v>
      </c>
      <c r="AC1" s="41" t="s">
        <v>55</v>
      </c>
      <c r="AD1" s="41" t="s">
        <v>56</v>
      </c>
    </row>
    <row r="2" spans="1:30" ht="16.5" thickBot="1">
      <c r="A2" s="3" t="s">
        <v>3</v>
      </c>
      <c r="B2" s="42" t="s">
        <v>79</v>
      </c>
      <c r="C2" s="6" t="s">
        <v>4</v>
      </c>
      <c r="D2" s="4" t="s">
        <v>5</v>
      </c>
      <c r="E2" s="47">
        <v>-2.2899231434335663</v>
      </c>
      <c r="F2" s="47">
        <v>-2.2698635795945807</v>
      </c>
      <c r="G2" s="48">
        <v>-2.3631405514458632</v>
      </c>
      <c r="H2" s="49">
        <f>_xlfn.STDEV.S(E2:G2)</f>
        <v>4.9098147309232287E-2</v>
      </c>
      <c r="I2" s="47">
        <v>-12.067367764381261</v>
      </c>
      <c r="J2" s="47">
        <v>-11.797740267530443</v>
      </c>
      <c r="K2" s="47">
        <v>-11.840680942954831</v>
      </c>
      <c r="L2" s="50">
        <f>_xlfn.STDEV.S(I2:K2)</f>
        <v>0.14487339511469932</v>
      </c>
      <c r="M2" s="64">
        <v>1237</v>
      </c>
      <c r="N2" s="65">
        <v>994</v>
      </c>
      <c r="O2" s="65">
        <v>1581</v>
      </c>
      <c r="P2" s="66">
        <v>373</v>
      </c>
      <c r="Q2" s="66">
        <v>363</v>
      </c>
      <c r="R2" s="66">
        <v>519</v>
      </c>
      <c r="S2" s="67">
        <f>M2/P2</f>
        <v>3.316353887399464</v>
      </c>
      <c r="T2" s="67">
        <f>N2/Q2</f>
        <v>2.7382920110192837</v>
      </c>
      <c r="U2" s="67">
        <f>O2/R2</f>
        <v>3.046242774566474</v>
      </c>
      <c r="V2" s="17">
        <f>_xlfn.STDEV.S(S2:U2)</f>
        <v>0.28923727830547385</v>
      </c>
      <c r="W2" s="28">
        <f>(AVERAGE(S2:U2))</f>
        <v>3.0336295576617407</v>
      </c>
      <c r="X2" s="19">
        <f>AVERAGE(E2:G2)</f>
        <v>-2.3076424248246696</v>
      </c>
      <c r="Y2" s="5">
        <f>AVERAGE(I2:K2)</f>
        <v>-11.901929658288845</v>
      </c>
      <c r="Z2" s="72" t="s">
        <v>6</v>
      </c>
      <c r="AA2" s="72" t="s">
        <v>43</v>
      </c>
      <c r="AB2" s="30" t="s">
        <v>11</v>
      </c>
      <c r="AC2" s="36" t="s">
        <v>13</v>
      </c>
      <c r="AD2" s="37" t="s">
        <v>21</v>
      </c>
    </row>
    <row r="3" spans="1:30" ht="16.5" thickBot="1">
      <c r="A3" s="3" t="s">
        <v>7</v>
      </c>
      <c r="B3" s="42" t="s">
        <v>80</v>
      </c>
      <c r="C3" s="6" t="s">
        <v>8</v>
      </c>
      <c r="D3" s="7" t="s">
        <v>5</v>
      </c>
      <c r="E3" s="51">
        <v>-12.069381247025227</v>
      </c>
      <c r="F3" s="52">
        <v>-12.012733936220847</v>
      </c>
      <c r="G3" s="53">
        <v>-12.010746311280343</v>
      </c>
      <c r="H3" s="49">
        <f t="shared" ref="H3:H15" si="0">_xlfn.STDEV.S(E3:G3)</f>
        <v>3.3293953815667347E-2</v>
      </c>
      <c r="I3" s="52">
        <v>-23.852822537924396</v>
      </c>
      <c r="J3" s="52">
        <v>-23.831777028653988</v>
      </c>
      <c r="K3" s="52">
        <v>-23.746592824464244</v>
      </c>
      <c r="L3" s="50">
        <f t="shared" ref="L3:L15" si="1">_xlfn.STDEV.S(I3:K3)</f>
        <v>5.6249465368891721E-2</v>
      </c>
      <c r="M3" s="64">
        <v>6266</v>
      </c>
      <c r="N3" s="65">
        <v>4854</v>
      </c>
      <c r="O3" s="65">
        <v>6511</v>
      </c>
      <c r="P3" s="66">
        <v>394</v>
      </c>
      <c r="Q3" s="66">
        <v>330</v>
      </c>
      <c r="R3" s="66">
        <v>407</v>
      </c>
      <c r="S3" s="67">
        <f t="shared" ref="S3:S16" si="2">M3/P3</f>
        <v>15.903553299492385</v>
      </c>
      <c r="T3" s="67">
        <f t="shared" ref="T3:T16" si="3">N3/Q3</f>
        <v>14.709090909090909</v>
      </c>
      <c r="U3" s="67">
        <f t="shared" ref="U3:U16" si="4">O3/R3</f>
        <v>15.997542997542997</v>
      </c>
      <c r="V3" s="17">
        <f t="shared" ref="V3:V16" si="5">_xlfn.STDEV.S(S3:U3)</f>
        <v>0.71829465282475358</v>
      </c>
      <c r="W3" s="28">
        <f t="shared" ref="W3:W19" si="6">(AVERAGE(S3:U3))</f>
        <v>15.536729068708764</v>
      </c>
      <c r="X3" s="20">
        <f>AVERAGE(E3:G3)</f>
        <v>-12.030953831508805</v>
      </c>
      <c r="Y3" s="9">
        <f>AVERAGE(I3:K3)</f>
        <v>-23.810397463680875</v>
      </c>
      <c r="Z3" s="73" t="s">
        <v>9</v>
      </c>
      <c r="AA3" s="73" t="s">
        <v>9</v>
      </c>
      <c r="AB3" s="31" t="s">
        <v>6</v>
      </c>
      <c r="AC3" s="38" t="s">
        <v>9</v>
      </c>
      <c r="AD3" s="39" t="s">
        <v>11</v>
      </c>
    </row>
    <row r="4" spans="1:30" ht="16.5" thickBot="1">
      <c r="A4" s="3" t="s">
        <v>10</v>
      </c>
      <c r="B4" s="42" t="s">
        <v>81</v>
      </c>
      <c r="C4" s="6" t="s">
        <v>5</v>
      </c>
      <c r="D4" s="7" t="s">
        <v>5</v>
      </c>
      <c r="E4" s="51">
        <v>-12.986670157068064</v>
      </c>
      <c r="F4" s="52">
        <v>-12.749148976677771</v>
      </c>
      <c r="G4" s="53">
        <v>-12.964806282722513</v>
      </c>
      <c r="H4" s="49">
        <f t="shared" si="0"/>
        <v>0.13127732336918863</v>
      </c>
      <c r="I4" s="52">
        <v>-21.833455815073446</v>
      </c>
      <c r="J4" s="52">
        <v>-21.648054900072239</v>
      </c>
      <c r="K4" s="52">
        <v>-21.828444979532868</v>
      </c>
      <c r="L4" s="50">
        <f t="shared" si="1"/>
        <v>0.10562448305507548</v>
      </c>
      <c r="M4" s="64">
        <v>4215</v>
      </c>
      <c r="N4" s="65">
        <v>4500</v>
      </c>
      <c r="O4" s="65">
        <v>5248</v>
      </c>
      <c r="P4" s="66">
        <v>248</v>
      </c>
      <c r="Q4" s="66">
        <v>307</v>
      </c>
      <c r="R4" s="66">
        <v>343</v>
      </c>
      <c r="S4" s="67">
        <f t="shared" si="2"/>
        <v>16.995967741935484</v>
      </c>
      <c r="T4" s="67">
        <f>N4/Q4</f>
        <v>14.657980456026058</v>
      </c>
      <c r="U4" s="67">
        <f t="shared" si="4"/>
        <v>15.300291545189504</v>
      </c>
      <c r="V4" s="17">
        <f t="shared" si="5"/>
        <v>1.2078952664688667</v>
      </c>
      <c r="W4" s="28">
        <f t="shared" si="6"/>
        <v>15.651413247717015</v>
      </c>
      <c r="X4" s="20">
        <f t="shared" ref="X4:X16" si="7">AVERAGE(E4:G4)</f>
        <v>-12.900208472156116</v>
      </c>
      <c r="Y4" s="8">
        <f t="shared" ref="Y4:Y16" si="8">AVERAGE(I4:K4)</f>
        <v>-21.76998523155952</v>
      </c>
      <c r="Z4" s="74" t="s">
        <v>11</v>
      </c>
      <c r="AA4" s="74" t="s">
        <v>51</v>
      </c>
      <c r="AB4" s="31" t="s">
        <v>6</v>
      </c>
      <c r="AC4" s="38" t="s">
        <v>9</v>
      </c>
      <c r="AD4" s="39" t="s">
        <v>11</v>
      </c>
    </row>
    <row r="5" spans="1:30" ht="16.5" thickBot="1">
      <c r="A5" s="3" t="s">
        <v>12</v>
      </c>
      <c r="B5" s="42" t="s">
        <v>82</v>
      </c>
      <c r="C5" s="6" t="s">
        <v>5</v>
      </c>
      <c r="D5" s="7" t="s">
        <v>5</v>
      </c>
      <c r="E5" s="51">
        <v>-15.195915278438839</v>
      </c>
      <c r="F5" s="52">
        <v>-15.163119466920515</v>
      </c>
      <c r="G5" s="53">
        <v>-14.977276534983341</v>
      </c>
      <c r="H5" s="49">
        <f t="shared" si="0"/>
        <v>0.11790961280005241</v>
      </c>
      <c r="I5" s="52">
        <v>-24.622486876956419</v>
      </c>
      <c r="J5" s="52">
        <v>-24.484187816036602</v>
      </c>
      <c r="K5" s="52">
        <v>-24.329854081386951</v>
      </c>
      <c r="L5" s="50">
        <f t="shared" si="1"/>
        <v>0.14638959716285266</v>
      </c>
      <c r="M5" s="64">
        <v>5262</v>
      </c>
      <c r="N5" s="65">
        <v>3805</v>
      </c>
      <c r="O5" s="65">
        <v>5012</v>
      </c>
      <c r="P5" s="66">
        <v>360</v>
      </c>
      <c r="Q5" s="66">
        <v>275</v>
      </c>
      <c r="R5" s="66">
        <v>371</v>
      </c>
      <c r="S5" s="67">
        <f t="shared" si="2"/>
        <v>14.616666666666667</v>
      </c>
      <c r="T5" s="67">
        <f t="shared" si="3"/>
        <v>13.836363636363636</v>
      </c>
      <c r="U5" s="67">
        <f t="shared" si="4"/>
        <v>13.509433962264151</v>
      </c>
      <c r="V5" s="17">
        <f t="shared" si="5"/>
        <v>0.56887609849090448</v>
      </c>
      <c r="W5" s="28">
        <f t="shared" si="6"/>
        <v>13.987488088431485</v>
      </c>
      <c r="X5" s="21">
        <f t="shared" si="7"/>
        <v>-15.112103760114231</v>
      </c>
      <c r="Y5" s="9">
        <f t="shared" si="8"/>
        <v>-24.478842924793327</v>
      </c>
      <c r="Z5" s="75" t="s">
        <v>13</v>
      </c>
      <c r="AA5" s="75" t="s">
        <v>13</v>
      </c>
      <c r="AB5" s="31" t="s">
        <v>6</v>
      </c>
      <c r="AC5" s="38" t="s">
        <v>6</v>
      </c>
      <c r="AD5" s="39" t="s">
        <v>6</v>
      </c>
    </row>
    <row r="6" spans="1:30" ht="16.5" thickBot="1">
      <c r="A6" s="3" t="s">
        <v>14</v>
      </c>
      <c r="B6" s="42" t="s">
        <v>83</v>
      </c>
      <c r="C6" s="6" t="s">
        <v>5</v>
      </c>
      <c r="D6" s="7" t="s">
        <v>5</v>
      </c>
      <c r="E6" s="54">
        <v>-15.18796477867682</v>
      </c>
      <c r="F6" s="55">
        <v>-15.293308900523559</v>
      </c>
      <c r="G6" s="56">
        <v>-15.008084721561163</v>
      </c>
      <c r="H6" s="49">
        <f t="shared" si="0"/>
        <v>0.14422612524572065</v>
      </c>
      <c r="I6" s="55">
        <v>-24.644534553334942</v>
      </c>
      <c r="J6" s="55">
        <v>-24.64653888755117</v>
      </c>
      <c r="K6" s="55">
        <v>-24.481181314712259</v>
      </c>
      <c r="L6" s="50">
        <f t="shared" si="1"/>
        <v>9.4895929680312865E-2</v>
      </c>
      <c r="M6" s="64">
        <v>5006</v>
      </c>
      <c r="N6" s="65">
        <v>4515</v>
      </c>
      <c r="O6" s="65">
        <v>4249</v>
      </c>
      <c r="P6" s="66">
        <v>360</v>
      </c>
      <c r="Q6" s="68">
        <v>341</v>
      </c>
      <c r="R6" s="66">
        <v>316</v>
      </c>
      <c r="S6" s="67">
        <f t="shared" si="2"/>
        <v>13.905555555555555</v>
      </c>
      <c r="T6" s="67">
        <f t="shared" si="3"/>
        <v>13.240469208211143</v>
      </c>
      <c r="U6" s="67">
        <f t="shared" si="4"/>
        <v>13.44620253164557</v>
      </c>
      <c r="V6" s="17">
        <f t="shared" si="5"/>
        <v>0.34050728097221677</v>
      </c>
      <c r="W6" s="28">
        <f t="shared" si="6"/>
        <v>13.530742431804088</v>
      </c>
      <c r="X6" s="22">
        <f t="shared" si="7"/>
        <v>-15.163119466920513</v>
      </c>
      <c r="Y6" s="10">
        <f t="shared" si="8"/>
        <v>-24.590751585199456</v>
      </c>
      <c r="Z6" s="75" t="s">
        <v>13</v>
      </c>
      <c r="AA6" s="75" t="s">
        <v>13</v>
      </c>
      <c r="AB6" s="31" t="s">
        <v>6</v>
      </c>
      <c r="AC6" s="38" t="s">
        <v>6</v>
      </c>
      <c r="AD6" s="39" t="s">
        <v>6</v>
      </c>
    </row>
    <row r="7" spans="1:30" ht="16.5" thickBot="1">
      <c r="A7" s="3" t="s">
        <v>15</v>
      </c>
      <c r="B7" s="42" t="s">
        <v>84</v>
      </c>
      <c r="C7" s="6" t="s">
        <v>5</v>
      </c>
      <c r="D7" s="7" t="s">
        <v>5</v>
      </c>
      <c r="E7" s="54">
        <v>-15.233680152308423</v>
      </c>
      <c r="F7" s="55">
        <v>-15.103490718705379</v>
      </c>
      <c r="G7" s="56">
        <v>-15.227717277486912</v>
      </c>
      <c r="H7" s="49">
        <f t="shared" si="0"/>
        <v>7.3504061571136245E-2</v>
      </c>
      <c r="I7" s="55">
        <v>-24.656560558632318</v>
      </c>
      <c r="J7" s="55">
        <v>-24.428066457982183</v>
      </c>
      <c r="K7" s="55">
        <v>-24.556343847820855</v>
      </c>
      <c r="L7" s="50">
        <f t="shared" si="1"/>
        <v>0.11453386100596699</v>
      </c>
      <c r="M7" s="64">
        <v>4990</v>
      </c>
      <c r="N7" s="65">
        <v>4353</v>
      </c>
      <c r="O7" s="65">
        <v>5934</v>
      </c>
      <c r="P7" s="66">
        <v>370</v>
      </c>
      <c r="Q7" s="66">
        <v>327</v>
      </c>
      <c r="R7" s="66">
        <v>422</v>
      </c>
      <c r="S7" s="67">
        <f t="shared" si="2"/>
        <v>13.486486486486486</v>
      </c>
      <c r="T7" s="67">
        <f t="shared" si="3"/>
        <v>13.311926605504587</v>
      </c>
      <c r="U7" s="67">
        <f t="shared" si="4"/>
        <v>14.061611374407583</v>
      </c>
      <c r="V7" s="17">
        <f t="shared" si="5"/>
        <v>0.39227266059035371</v>
      </c>
      <c r="W7" s="28">
        <f t="shared" si="6"/>
        <v>13.620008155466218</v>
      </c>
      <c r="X7" s="22">
        <f t="shared" si="7"/>
        <v>-15.188296049500238</v>
      </c>
      <c r="Y7" s="10">
        <f>AVERAGE(I7:K7)</f>
        <v>-24.546990288145121</v>
      </c>
      <c r="Z7" s="75" t="s">
        <v>13</v>
      </c>
      <c r="AA7" s="75" t="s">
        <v>13</v>
      </c>
      <c r="AB7" s="31" t="s">
        <v>6</v>
      </c>
      <c r="AC7" s="38" t="s">
        <v>6</v>
      </c>
      <c r="AD7" s="39" t="s">
        <v>6</v>
      </c>
    </row>
    <row r="8" spans="1:30" ht="16.5" thickBot="1">
      <c r="A8" s="3" t="s">
        <v>16</v>
      </c>
      <c r="B8" s="42" t="s">
        <v>85</v>
      </c>
      <c r="C8" s="6" t="s">
        <v>5</v>
      </c>
      <c r="D8" s="7" t="s">
        <v>5</v>
      </c>
      <c r="E8" s="54">
        <v>-15.404615897191814</v>
      </c>
      <c r="F8" s="55">
        <v>-15.224735840076155</v>
      </c>
      <c r="G8" s="56">
        <v>-15.160138029509756</v>
      </c>
      <c r="H8" s="49">
        <f t="shared" si="0"/>
        <v>0.12668802881111185</v>
      </c>
      <c r="I8" s="55">
        <v>-24.929150012039493</v>
      </c>
      <c r="J8" s="55">
        <v>-24.690634240308214</v>
      </c>
      <c r="K8" s="55">
        <v>-24.619480375632076</v>
      </c>
      <c r="L8" s="50">
        <f t="shared" si="1"/>
        <v>0.16219737438052631</v>
      </c>
      <c r="M8" s="64">
        <v>4135</v>
      </c>
      <c r="N8" s="65">
        <v>4401</v>
      </c>
      <c r="O8" s="65">
        <v>4781</v>
      </c>
      <c r="P8" s="66">
        <v>295</v>
      </c>
      <c r="Q8" s="66">
        <v>331</v>
      </c>
      <c r="R8" s="66">
        <v>360</v>
      </c>
      <c r="S8" s="67">
        <f t="shared" si="2"/>
        <v>14.016949152542374</v>
      </c>
      <c r="T8" s="67">
        <f t="shared" si="3"/>
        <v>13.29607250755287</v>
      </c>
      <c r="U8" s="67">
        <f t="shared" si="4"/>
        <v>13.280555555555555</v>
      </c>
      <c r="V8" s="17">
        <f t="shared" si="5"/>
        <v>0.42074922118640451</v>
      </c>
      <c r="W8" s="28">
        <f t="shared" si="6"/>
        <v>13.531192405216933</v>
      </c>
      <c r="X8" s="22">
        <f t="shared" si="7"/>
        <v>-15.263163255592573</v>
      </c>
      <c r="Y8" s="10">
        <f t="shared" si="8"/>
        <v>-24.746421542659927</v>
      </c>
      <c r="Z8" s="75" t="s">
        <v>13</v>
      </c>
      <c r="AA8" s="75" t="s">
        <v>13</v>
      </c>
      <c r="AB8" s="31" t="s">
        <v>6</v>
      </c>
      <c r="AC8" s="38" t="s">
        <v>6</v>
      </c>
      <c r="AD8" s="39" t="s">
        <v>6</v>
      </c>
    </row>
    <row r="9" spans="1:30" ht="16.5" thickBot="1">
      <c r="A9" s="3" t="s">
        <v>17</v>
      </c>
      <c r="B9" s="42" t="s">
        <v>86</v>
      </c>
      <c r="C9" s="6" t="s">
        <v>5</v>
      </c>
      <c r="D9" s="7" t="s">
        <v>5</v>
      </c>
      <c r="E9" s="51">
        <v>-15.182001903855307</v>
      </c>
      <c r="F9" s="52">
        <v>-14.965350785340314</v>
      </c>
      <c r="G9" s="53">
        <v>-14.930567348881485</v>
      </c>
      <c r="H9" s="49">
        <f t="shared" si="0"/>
        <v>0.13623932988223711</v>
      </c>
      <c r="I9" s="52">
        <v>-24.694642908740672</v>
      </c>
      <c r="J9" s="52">
        <v>-24.28976739706237</v>
      </c>
      <c r="K9" s="52">
        <v>-24.460135805441851</v>
      </c>
      <c r="L9" s="50">
        <f t="shared" si="1"/>
        <v>0.20328270791688455</v>
      </c>
      <c r="M9" s="64">
        <v>4290</v>
      </c>
      <c r="N9" s="65">
        <v>3165</v>
      </c>
      <c r="O9" s="65">
        <v>4854</v>
      </c>
      <c r="P9" s="66">
        <v>339</v>
      </c>
      <c r="Q9" s="66">
        <v>264</v>
      </c>
      <c r="R9" s="66">
        <v>385</v>
      </c>
      <c r="S9" s="67">
        <f t="shared" si="2"/>
        <v>12.654867256637168</v>
      </c>
      <c r="T9" s="67">
        <f t="shared" si="3"/>
        <v>11.988636363636363</v>
      </c>
      <c r="U9" s="67">
        <f t="shared" si="4"/>
        <v>12.607792207792208</v>
      </c>
      <c r="V9" s="17">
        <f t="shared" si="5"/>
        <v>0.37180497180751937</v>
      </c>
      <c r="W9" s="28">
        <f t="shared" si="6"/>
        <v>12.417098609355245</v>
      </c>
      <c r="X9" s="21">
        <f t="shared" si="7"/>
        <v>-15.025973346025703</v>
      </c>
      <c r="Y9" s="9">
        <f t="shared" si="8"/>
        <v>-24.481515370414964</v>
      </c>
      <c r="Z9" s="75" t="s">
        <v>13</v>
      </c>
      <c r="AA9" s="75" t="s">
        <v>13</v>
      </c>
      <c r="AB9" s="31" t="s">
        <v>6</v>
      </c>
      <c r="AC9" s="38" t="s">
        <v>6</v>
      </c>
      <c r="AD9" s="39" t="s">
        <v>6</v>
      </c>
    </row>
    <row r="10" spans="1:30" ht="16.5" thickBot="1">
      <c r="A10" s="3" t="s">
        <v>18</v>
      </c>
      <c r="B10" s="42" t="s">
        <v>87</v>
      </c>
      <c r="C10" s="6" t="s">
        <v>5</v>
      </c>
      <c r="D10" s="7" t="s">
        <v>5</v>
      </c>
      <c r="E10" s="51">
        <v>-15.248587339362208</v>
      </c>
      <c r="F10" s="52">
        <v>-15.166100904331271</v>
      </c>
      <c r="G10" s="53">
        <v>-15.038892908138981</v>
      </c>
      <c r="H10" s="49">
        <f t="shared" si="0"/>
        <v>0.10563904008888252</v>
      </c>
      <c r="I10" s="52">
        <v>-24.626495545388877</v>
      </c>
      <c r="J10" s="52">
        <v>-24.570374187334458</v>
      </c>
      <c r="K10" s="52">
        <v>-24.484187816036602</v>
      </c>
      <c r="L10" s="50">
        <f t="shared" si="1"/>
        <v>7.1681224018525974E-2</v>
      </c>
      <c r="M10" s="64">
        <v>4876</v>
      </c>
      <c r="N10" s="65">
        <v>4617</v>
      </c>
      <c r="O10" s="65">
        <v>4589</v>
      </c>
      <c r="P10" s="66">
        <v>349</v>
      </c>
      <c r="Q10" s="66">
        <v>356</v>
      </c>
      <c r="R10" s="66">
        <v>343</v>
      </c>
      <c r="S10" s="67">
        <f t="shared" si="2"/>
        <v>13.97134670487106</v>
      </c>
      <c r="T10" s="67">
        <f t="shared" si="3"/>
        <v>12.969101123595506</v>
      </c>
      <c r="U10" s="67">
        <f t="shared" si="4"/>
        <v>13.379008746355685</v>
      </c>
      <c r="V10" s="17">
        <f t="shared" si="5"/>
        <v>0.50388238070033708</v>
      </c>
      <c r="W10" s="28">
        <f t="shared" si="6"/>
        <v>13.439818858274085</v>
      </c>
      <c r="X10" s="21">
        <f t="shared" si="7"/>
        <v>-15.151193717277486</v>
      </c>
      <c r="Y10" s="9">
        <f t="shared" si="8"/>
        <v>-24.560352516253314</v>
      </c>
      <c r="Z10" s="75" t="s">
        <v>13</v>
      </c>
      <c r="AA10" s="75" t="s">
        <v>13</v>
      </c>
      <c r="AB10" s="31" t="s">
        <v>6</v>
      </c>
      <c r="AC10" s="38" t="s">
        <v>6</v>
      </c>
      <c r="AD10" s="39" t="s">
        <v>6</v>
      </c>
    </row>
    <row r="11" spans="1:30" ht="31.5" thickBot="1">
      <c r="A11" s="3" t="s">
        <v>19</v>
      </c>
      <c r="B11" s="42" t="s">
        <v>57</v>
      </c>
      <c r="C11" s="6" t="s">
        <v>20</v>
      </c>
      <c r="D11" s="7" t="s">
        <v>5</v>
      </c>
      <c r="E11" s="51">
        <v>2.54065587815326</v>
      </c>
      <c r="F11" s="52">
        <v>2.6271175630652066</v>
      </c>
      <c r="G11" s="53">
        <v>2.5416496906235122</v>
      </c>
      <c r="H11" s="49">
        <f t="shared" si="0"/>
        <v>4.9634275523990662E-2</v>
      </c>
      <c r="I11" s="52">
        <v>-5.1122976161810767</v>
      </c>
      <c r="J11" s="52">
        <v>-4.8256778232602962</v>
      </c>
      <c r="K11" s="52">
        <v>-4.9549573802070821</v>
      </c>
      <c r="L11" s="50">
        <f t="shared" si="1"/>
        <v>0.1435386471736565</v>
      </c>
      <c r="M11" s="64">
        <v>2631</v>
      </c>
      <c r="N11" s="65">
        <v>2181</v>
      </c>
      <c r="O11" s="65">
        <v>2184</v>
      </c>
      <c r="P11" s="66">
        <v>387</v>
      </c>
      <c r="Q11" s="66">
        <v>349</v>
      </c>
      <c r="R11" s="66">
        <v>394</v>
      </c>
      <c r="S11" s="67">
        <f t="shared" si="2"/>
        <v>6.7984496124031004</v>
      </c>
      <c r="T11" s="67">
        <f t="shared" si="3"/>
        <v>6.2492836676217767</v>
      </c>
      <c r="U11" s="67">
        <f t="shared" si="4"/>
        <v>5.5431472081218276</v>
      </c>
      <c r="V11" s="17">
        <f t="shared" si="5"/>
        <v>0.62928478721707426</v>
      </c>
      <c r="W11" s="28">
        <f t="shared" si="6"/>
        <v>6.1969601627155688</v>
      </c>
      <c r="X11" s="23">
        <f t="shared" si="7"/>
        <v>2.5698077106139929</v>
      </c>
      <c r="Y11" s="11">
        <f t="shared" si="8"/>
        <v>-4.9643109398828189</v>
      </c>
      <c r="Z11" s="76" t="s">
        <v>21</v>
      </c>
      <c r="AA11" s="76" t="s">
        <v>45</v>
      </c>
      <c r="AB11" s="32" t="s">
        <v>9</v>
      </c>
      <c r="AC11" s="38" t="s">
        <v>11</v>
      </c>
      <c r="AD11" s="39" t="s">
        <v>13</v>
      </c>
    </row>
    <row r="12" spans="1:30" ht="16.5" thickBot="1">
      <c r="A12" s="3" t="s">
        <v>22</v>
      </c>
      <c r="B12" s="42" t="s">
        <v>58</v>
      </c>
      <c r="C12" s="6" t="s">
        <v>4</v>
      </c>
      <c r="D12" s="4" t="s">
        <v>5</v>
      </c>
      <c r="E12" s="47">
        <v>2.5564674800653284</v>
      </c>
      <c r="F12" s="47">
        <v>2.5695061965606687</v>
      </c>
      <c r="G12" s="48">
        <v>2.5283840906907487</v>
      </c>
      <c r="H12" s="49">
        <f t="shared" si="0"/>
        <v>2.1014726890869615E-2</v>
      </c>
      <c r="I12" s="47">
        <v>-4.7494777757782964</v>
      </c>
      <c r="J12" s="47">
        <v>-4.8942777277907723</v>
      </c>
      <c r="K12" s="47">
        <v>-4.8044018955071666</v>
      </c>
      <c r="L12" s="50">
        <f t="shared" si="1"/>
        <v>7.3099646897776233E-2</v>
      </c>
      <c r="M12" s="64">
        <v>1765</v>
      </c>
      <c r="N12" s="65">
        <v>1361</v>
      </c>
      <c r="O12" s="65">
        <v>2031</v>
      </c>
      <c r="P12" s="66">
        <v>474</v>
      </c>
      <c r="Q12" s="66">
        <v>353</v>
      </c>
      <c r="R12" s="66">
        <v>522</v>
      </c>
      <c r="S12" s="67">
        <f t="shared" si="2"/>
        <v>3.7236286919831225</v>
      </c>
      <c r="T12" s="67">
        <f t="shared" si="3"/>
        <v>3.8555240793201131</v>
      </c>
      <c r="U12" s="67">
        <f t="shared" si="4"/>
        <v>3.8908045977011496</v>
      </c>
      <c r="V12" s="17">
        <f t="shared" si="5"/>
        <v>8.8118189222063298E-2</v>
      </c>
      <c r="W12" s="28">
        <f t="shared" si="6"/>
        <v>3.8233191230014616</v>
      </c>
      <c r="X12" s="23">
        <f>AVERAGE(E12:G12)</f>
        <v>2.5514525891055819</v>
      </c>
      <c r="Y12" s="11">
        <f>AVERAGE(I12:K12)</f>
        <v>-4.8160524663587445</v>
      </c>
      <c r="Z12" s="76" t="s">
        <v>21</v>
      </c>
      <c r="AA12" s="76" t="s">
        <v>46</v>
      </c>
      <c r="AB12" s="32" t="s">
        <v>9</v>
      </c>
      <c r="AC12" s="38" t="s">
        <v>11</v>
      </c>
      <c r="AD12" s="39" t="s">
        <v>13</v>
      </c>
    </row>
    <row r="13" spans="1:30" ht="16.5" thickBot="1">
      <c r="A13" s="3" t="s">
        <v>23</v>
      </c>
      <c r="B13" s="42" t="s">
        <v>59</v>
      </c>
      <c r="C13" s="6" t="s">
        <v>5</v>
      </c>
      <c r="D13" s="7" t="s">
        <v>5</v>
      </c>
      <c r="E13" s="51">
        <v>-15.104484531175631</v>
      </c>
      <c r="F13" s="52">
        <v>-14.996158971918135</v>
      </c>
      <c r="G13" s="53">
        <v>-15.121379343169918</v>
      </c>
      <c r="H13" s="49">
        <f t="shared" si="0"/>
        <v>6.7946060515193654E-2</v>
      </c>
      <c r="I13" s="52">
        <v>-23.520103058030344</v>
      </c>
      <c r="J13" s="52">
        <v>-23.462979532867809</v>
      </c>
      <c r="K13" s="52">
        <v>-23.479014206597643</v>
      </c>
      <c r="L13" s="50">
        <f t="shared" si="1"/>
        <v>2.9463258477510294E-2</v>
      </c>
      <c r="M13" s="64">
        <v>4771</v>
      </c>
      <c r="N13" s="65">
        <v>5070</v>
      </c>
      <c r="O13" s="65">
        <v>5282</v>
      </c>
      <c r="P13" s="66">
        <v>292</v>
      </c>
      <c r="Q13" s="66">
        <v>319</v>
      </c>
      <c r="R13" s="66">
        <v>330</v>
      </c>
      <c r="S13" s="67">
        <f t="shared" si="2"/>
        <v>16.339041095890412</v>
      </c>
      <c r="T13" s="67">
        <f t="shared" si="3"/>
        <v>15.893416927899686</v>
      </c>
      <c r="U13" s="67">
        <f>O13/R13</f>
        <v>16.006060606060608</v>
      </c>
      <c r="V13" s="17">
        <f t="shared" si="5"/>
        <v>0.23171300637294989</v>
      </c>
      <c r="W13" s="28">
        <f t="shared" si="6"/>
        <v>16.079506209950235</v>
      </c>
      <c r="X13" s="21">
        <f t="shared" si="7"/>
        <v>-15.074007615421229</v>
      </c>
      <c r="Y13" s="9">
        <f t="shared" si="8"/>
        <v>-23.487365599165262</v>
      </c>
      <c r="Z13" s="75" t="s">
        <v>13</v>
      </c>
      <c r="AA13" s="75" t="s">
        <v>13</v>
      </c>
      <c r="AB13" s="31" t="s">
        <v>6</v>
      </c>
      <c r="AC13" s="38" t="s">
        <v>6</v>
      </c>
      <c r="AD13" s="39" t="s">
        <v>6</v>
      </c>
    </row>
    <row r="14" spans="1:30" ht="16.5" thickBot="1">
      <c r="A14" s="3" t="s">
        <v>24</v>
      </c>
      <c r="B14" s="42" t="s">
        <v>60</v>
      </c>
      <c r="C14" s="6" t="s">
        <v>5</v>
      </c>
      <c r="D14" s="7" t="s">
        <v>5</v>
      </c>
      <c r="E14" s="51">
        <v>-11.377687767729654</v>
      </c>
      <c r="F14" s="52">
        <v>-11.298182770109472</v>
      </c>
      <c r="G14" s="53">
        <v>-11.234578772013327</v>
      </c>
      <c r="H14" s="49">
        <f t="shared" si="0"/>
        <v>7.1701578173397798E-2</v>
      </c>
      <c r="I14" s="52">
        <v>-21.325357091259335</v>
      </c>
      <c r="J14" s="52">
        <v>-21.297296412232125</v>
      </c>
      <c r="K14" s="52">
        <v>-21.265227064772457</v>
      </c>
      <c r="L14" s="50">
        <f t="shared" si="1"/>
        <v>3.008727538143436E-2</v>
      </c>
      <c r="M14" s="64">
        <v>4241</v>
      </c>
      <c r="N14" s="65">
        <v>5971</v>
      </c>
      <c r="O14" s="65">
        <v>5785</v>
      </c>
      <c r="P14" s="66">
        <v>242</v>
      </c>
      <c r="Q14" s="66">
        <v>380</v>
      </c>
      <c r="R14" s="66">
        <v>363</v>
      </c>
      <c r="S14" s="67">
        <f t="shared" si="2"/>
        <v>17.524793388429753</v>
      </c>
      <c r="T14" s="67">
        <f t="shared" si="3"/>
        <v>15.713157894736842</v>
      </c>
      <c r="U14" s="67">
        <f t="shared" si="4"/>
        <v>15.9366391184573</v>
      </c>
      <c r="V14" s="17">
        <f t="shared" si="5"/>
        <v>0.98777536283942002</v>
      </c>
      <c r="W14" s="28">
        <f t="shared" si="6"/>
        <v>16.391530133874632</v>
      </c>
      <c r="X14" s="20">
        <f t="shared" si="7"/>
        <v>-11.303483103284151</v>
      </c>
      <c r="Y14" s="8">
        <f t="shared" si="8"/>
        <v>-21.295960189421308</v>
      </c>
      <c r="Z14" s="74" t="s">
        <v>11</v>
      </c>
      <c r="AA14" s="74" t="s">
        <v>51</v>
      </c>
      <c r="AB14" s="31" t="s">
        <v>6</v>
      </c>
      <c r="AC14" s="38" t="s">
        <v>9</v>
      </c>
      <c r="AD14" s="39" t="s">
        <v>9</v>
      </c>
    </row>
    <row r="15" spans="1:30" ht="16.5" thickBot="1">
      <c r="A15" s="3" t="s">
        <v>25</v>
      </c>
      <c r="B15" s="42" t="s">
        <v>61</v>
      </c>
      <c r="C15" s="6" t="s">
        <v>5</v>
      </c>
      <c r="D15" s="7" t="s">
        <v>5</v>
      </c>
      <c r="E15" s="51">
        <v>-11.429366016182771</v>
      </c>
      <c r="F15" s="52">
        <v>-11.25843027129938</v>
      </c>
      <c r="G15" s="53">
        <v>-11.332966206568301</v>
      </c>
      <c r="H15" s="49">
        <f t="shared" si="0"/>
        <v>8.5700600755341222E-2</v>
      </c>
      <c r="I15" s="52">
        <v>-21.30130508066458</v>
      </c>
      <c r="J15" s="52">
        <v>-21.153986515771734</v>
      </c>
      <c r="K15" s="52">
        <v>-21.356424271610884</v>
      </c>
      <c r="L15" s="50">
        <f t="shared" si="1"/>
        <v>0.10465971030109411</v>
      </c>
      <c r="M15" s="64">
        <v>3895</v>
      </c>
      <c r="N15" s="65">
        <v>4712</v>
      </c>
      <c r="O15" s="65">
        <v>5532</v>
      </c>
      <c r="P15" s="66">
        <v>230</v>
      </c>
      <c r="Q15" s="66">
        <v>283</v>
      </c>
      <c r="R15" s="66">
        <v>323</v>
      </c>
      <c r="S15" s="67">
        <f t="shared" si="2"/>
        <v>16.934782608695652</v>
      </c>
      <c r="T15" s="67">
        <f t="shared" si="3"/>
        <v>16.650176678445231</v>
      </c>
      <c r="U15" s="67">
        <f t="shared" si="4"/>
        <v>17.126934984520123</v>
      </c>
      <c r="V15" s="17">
        <f t="shared" si="5"/>
        <v>0.23986855896514681</v>
      </c>
      <c r="W15" s="28">
        <f t="shared" si="6"/>
        <v>16.903964757220336</v>
      </c>
      <c r="X15" s="20">
        <f t="shared" si="7"/>
        <v>-11.340254164683484</v>
      </c>
      <c r="Y15" s="8">
        <f t="shared" si="8"/>
        <v>-21.270571956015733</v>
      </c>
      <c r="Z15" s="74" t="s">
        <v>11</v>
      </c>
      <c r="AA15" s="74" t="s">
        <v>51</v>
      </c>
      <c r="AB15" s="31" t="s">
        <v>6</v>
      </c>
      <c r="AC15" s="38" t="s">
        <v>9</v>
      </c>
      <c r="AD15" s="39" t="s">
        <v>9</v>
      </c>
    </row>
    <row r="16" spans="1:30" ht="16.5" thickBot="1">
      <c r="A16" s="3" t="s">
        <v>26</v>
      </c>
      <c r="B16" s="42" t="s">
        <v>62</v>
      </c>
      <c r="C16" s="6" t="s">
        <v>5</v>
      </c>
      <c r="D16" s="7" t="s">
        <v>5</v>
      </c>
      <c r="E16" s="51">
        <v>-11.185881960970967</v>
      </c>
      <c r="F16" s="52">
        <v>-11.30613326987149</v>
      </c>
      <c r="G16" s="53">
        <v>-11.524772013326988</v>
      </c>
      <c r="H16" s="49">
        <f>_xlfn.STDEV.S(E16:G16)</f>
        <v>0.17180887880527534</v>
      </c>
      <c r="I16" s="52">
        <v>-21.149977847339276</v>
      </c>
      <c r="J16" s="52">
        <v>-21.272242234529259</v>
      </c>
      <c r="K16" s="52">
        <v>-21.404528292800389</v>
      </c>
      <c r="L16" s="50">
        <f>_xlfn.STDEV.S(I16:K16)</f>
        <v>0.12730809798300752</v>
      </c>
      <c r="M16" s="64">
        <v>4538</v>
      </c>
      <c r="N16" s="65">
        <v>4759</v>
      </c>
      <c r="O16" s="65">
        <v>4413</v>
      </c>
      <c r="P16" s="66">
        <v>283</v>
      </c>
      <c r="Q16" s="66">
        <v>285</v>
      </c>
      <c r="R16" s="66">
        <v>259</v>
      </c>
      <c r="S16" s="67">
        <f t="shared" si="2"/>
        <v>16.035335689045937</v>
      </c>
      <c r="T16" s="67">
        <f t="shared" si="3"/>
        <v>16.698245614035088</v>
      </c>
      <c r="U16" s="67">
        <f t="shared" si="4"/>
        <v>17.038610038610038</v>
      </c>
      <c r="V16" s="17">
        <f t="shared" si="5"/>
        <v>0.51020533948901881</v>
      </c>
      <c r="W16" s="28">
        <f t="shared" si="6"/>
        <v>16.590730447230353</v>
      </c>
      <c r="X16" s="20">
        <f t="shared" si="7"/>
        <v>-11.338929081389814</v>
      </c>
      <c r="Y16" s="8">
        <f t="shared" si="8"/>
        <v>-21.275582791556307</v>
      </c>
      <c r="Z16" s="74" t="s">
        <v>11</v>
      </c>
      <c r="AA16" s="74" t="s">
        <v>51</v>
      </c>
      <c r="AB16" s="31" t="s">
        <v>6</v>
      </c>
      <c r="AC16" s="38" t="s">
        <v>9</v>
      </c>
      <c r="AD16" s="39" t="s">
        <v>9</v>
      </c>
    </row>
    <row r="17" spans="1:30" ht="46.5" thickBot="1">
      <c r="A17" s="12" t="s">
        <v>27</v>
      </c>
      <c r="B17" s="42" t="s">
        <v>63</v>
      </c>
      <c r="C17" s="6" t="s">
        <v>28</v>
      </c>
      <c r="D17" s="7" t="s">
        <v>4</v>
      </c>
      <c r="E17" s="14"/>
      <c r="F17" s="14"/>
      <c r="G17" s="57"/>
      <c r="H17" s="58"/>
      <c r="I17" s="14"/>
      <c r="J17" s="14"/>
      <c r="K17" s="14"/>
      <c r="L17" s="59"/>
      <c r="M17" s="69"/>
      <c r="N17" s="70"/>
      <c r="O17" s="70"/>
      <c r="P17" s="70"/>
      <c r="Q17" s="70"/>
      <c r="R17" s="70"/>
      <c r="S17" s="70"/>
      <c r="T17" s="70"/>
      <c r="U17" s="70"/>
      <c r="V17" s="13"/>
      <c r="W17" s="29"/>
      <c r="X17" s="24"/>
      <c r="Y17" s="13"/>
      <c r="Z17" s="77"/>
      <c r="AA17" s="77"/>
      <c r="AB17" s="33"/>
      <c r="AC17" s="33"/>
      <c r="AD17" s="40"/>
    </row>
    <row r="18" spans="1:30" ht="16.5" thickBot="1">
      <c r="A18" s="82" t="s">
        <v>74</v>
      </c>
      <c r="B18" s="83" t="s">
        <v>76</v>
      </c>
      <c r="C18" s="6" t="s">
        <v>8</v>
      </c>
      <c r="D18" s="7" t="s">
        <v>5</v>
      </c>
      <c r="E18" s="60">
        <v>-2.3822987965740303</v>
      </c>
      <c r="F18" s="60">
        <v>-2.3309873152397818</v>
      </c>
      <c r="G18" s="60">
        <v>-2.3259567778540715</v>
      </c>
      <c r="H18" s="49">
        <f t="shared" ref="H18:H19" si="9">_xlfn.STDEV.S(E18:G18)</f>
        <v>3.1178511554552431E-2</v>
      </c>
      <c r="I18" s="52">
        <v>-11.988281404756506</v>
      </c>
      <c r="J18" s="52">
        <v>-11.825379291416571</v>
      </c>
      <c r="K18" s="52">
        <v>-12.016093960692594</v>
      </c>
      <c r="L18" s="50">
        <f t="shared" ref="L18:L19" si="10">_xlfn.STDEV.S(I18:K18)</f>
        <v>0.10302323514251367</v>
      </c>
      <c r="M18" s="64">
        <v>2283</v>
      </c>
      <c r="N18" s="65">
        <v>2610</v>
      </c>
      <c r="O18" s="65">
        <v>1846</v>
      </c>
      <c r="P18" s="66">
        <v>329</v>
      </c>
      <c r="Q18" s="66">
        <v>383</v>
      </c>
      <c r="R18" s="66">
        <v>302</v>
      </c>
      <c r="S18" s="67">
        <f t="shared" ref="S18:S19" si="11">M18/P18</f>
        <v>6.9392097264437691</v>
      </c>
      <c r="T18" s="67">
        <f t="shared" ref="T18:T19" si="12">N18/Q18</f>
        <v>6.8146214099216706</v>
      </c>
      <c r="U18" s="67">
        <f t="shared" ref="U18:U19" si="13">O18/R18</f>
        <v>6.112582781456954</v>
      </c>
      <c r="V18" s="17">
        <f>_xlfn.STDEV.S(S18:U18)</f>
        <v>0.44566291272078912</v>
      </c>
      <c r="W18" s="28">
        <f t="shared" si="6"/>
        <v>6.6221379726074643</v>
      </c>
      <c r="X18" s="19">
        <f>AVERAGE(E18:G18)</f>
        <v>-2.3464142965559609</v>
      </c>
      <c r="Y18" s="5">
        <f t="shared" ref="Y18:Y19" si="14">AVERAGE(I18:K18)</f>
        <v>-11.943251552288558</v>
      </c>
      <c r="Z18" s="78" t="s">
        <v>6</v>
      </c>
      <c r="AA18" s="78" t="s">
        <v>52</v>
      </c>
      <c r="AB18" s="34" t="s">
        <v>11</v>
      </c>
      <c r="AC18" s="38" t="s">
        <v>13</v>
      </c>
      <c r="AD18" s="39" t="s">
        <v>21</v>
      </c>
    </row>
    <row r="19" spans="1:30" ht="16.5" thickBot="1">
      <c r="A19" s="82" t="s">
        <v>75</v>
      </c>
      <c r="B19" s="83" t="s">
        <v>77</v>
      </c>
      <c r="C19" s="6" t="s">
        <v>5</v>
      </c>
      <c r="D19" s="7" t="s">
        <v>5</v>
      </c>
      <c r="E19" s="52">
        <v>-2.2927552311083805</v>
      </c>
      <c r="F19" s="52">
        <v>-2.2444620722055579</v>
      </c>
      <c r="G19" s="53">
        <v>-2.3018101984026602</v>
      </c>
      <c r="H19" s="49">
        <f t="shared" si="9"/>
        <v>3.0830258966996794E-2</v>
      </c>
      <c r="I19" s="52">
        <v>-11.990268015894799</v>
      </c>
      <c r="J19" s="52">
        <v>-12.016093960692594</v>
      </c>
      <c r="K19" s="52">
        <v>-11.927689765038602</v>
      </c>
      <c r="L19" s="50">
        <f t="shared" si="10"/>
        <v>4.5457523605649322E-2</v>
      </c>
      <c r="M19" s="64">
        <v>1656</v>
      </c>
      <c r="N19" s="65">
        <v>2072</v>
      </c>
      <c r="O19" s="65">
        <v>1597</v>
      </c>
      <c r="P19" s="66">
        <v>333</v>
      </c>
      <c r="Q19" s="66">
        <v>392</v>
      </c>
      <c r="R19" s="66">
        <v>339</v>
      </c>
      <c r="S19" s="67">
        <f t="shared" si="11"/>
        <v>4.9729729729729728</v>
      </c>
      <c r="T19" s="67">
        <f t="shared" si="12"/>
        <v>5.2857142857142856</v>
      </c>
      <c r="U19" s="67">
        <f t="shared" si="13"/>
        <v>4.7109144542772858</v>
      </c>
      <c r="V19" s="17">
        <f t="shared" ref="V19" si="15">_xlfn.STDEV.S(S19:U19)</f>
        <v>0.28777208636237944</v>
      </c>
      <c r="W19" s="28">
        <f t="shared" si="6"/>
        <v>4.9898672376548481</v>
      </c>
      <c r="X19" s="19">
        <f t="shared" ref="X19" si="16">AVERAGE(E19:G19)</f>
        <v>-2.2796758339055327</v>
      </c>
      <c r="Y19" s="5">
        <f t="shared" si="14"/>
        <v>-11.978017247208664</v>
      </c>
      <c r="Z19" s="78" t="s">
        <v>6</v>
      </c>
      <c r="AA19" s="78" t="s">
        <v>53</v>
      </c>
      <c r="AB19" s="34" t="s">
        <v>11</v>
      </c>
      <c r="AC19" s="38" t="s">
        <v>13</v>
      </c>
      <c r="AD19" s="39" t="s">
        <v>21</v>
      </c>
    </row>
    <row r="20" spans="1:30" ht="16.5" thickBot="1">
      <c r="A20" s="12" t="s">
        <v>29</v>
      </c>
      <c r="B20" s="42" t="s">
        <v>64</v>
      </c>
      <c r="C20" s="6" t="s">
        <v>4</v>
      </c>
      <c r="D20" s="7" t="s">
        <v>4</v>
      </c>
      <c r="E20" s="14"/>
      <c r="F20" s="14"/>
      <c r="G20" s="57"/>
      <c r="H20" s="58"/>
      <c r="I20" s="14"/>
      <c r="J20" s="14"/>
      <c r="K20" s="14"/>
      <c r="L20" s="59"/>
      <c r="M20" s="69"/>
      <c r="N20" s="70"/>
      <c r="O20" s="70"/>
      <c r="P20" s="70"/>
      <c r="Q20" s="70"/>
      <c r="R20" s="70"/>
      <c r="S20" s="70"/>
      <c r="T20" s="70"/>
      <c r="U20" s="70"/>
      <c r="V20" s="13"/>
      <c r="W20" s="29"/>
      <c r="X20" s="24"/>
      <c r="Y20" s="13"/>
      <c r="Z20" s="79"/>
      <c r="AA20" s="79"/>
      <c r="AB20" s="33"/>
      <c r="AC20" s="33"/>
      <c r="AD20" s="40"/>
    </row>
    <row r="21" spans="1:30" ht="16.5" thickBot="1">
      <c r="A21" s="12" t="s">
        <v>30</v>
      </c>
      <c r="B21" s="42" t="s">
        <v>65</v>
      </c>
      <c r="C21" s="6" t="s">
        <v>4</v>
      </c>
      <c r="D21" s="7" t="s">
        <v>4</v>
      </c>
      <c r="E21" s="14"/>
      <c r="F21" s="14"/>
      <c r="G21" s="57"/>
      <c r="H21" s="58"/>
      <c r="I21" s="14"/>
      <c r="J21" s="14"/>
      <c r="K21" s="14"/>
      <c r="L21" s="59"/>
      <c r="M21" s="69"/>
      <c r="N21" s="70"/>
      <c r="O21" s="70"/>
      <c r="P21" s="70"/>
      <c r="Q21" s="70"/>
      <c r="R21" s="70"/>
      <c r="S21" s="70"/>
      <c r="T21" s="70"/>
      <c r="U21" s="70"/>
      <c r="V21" s="13"/>
      <c r="W21" s="29"/>
      <c r="X21" s="24"/>
      <c r="Y21" s="13"/>
      <c r="Z21" s="79"/>
      <c r="AA21" s="79"/>
      <c r="AB21" s="33"/>
      <c r="AC21" s="33"/>
      <c r="AD21" s="40"/>
    </row>
    <row r="22" spans="1:30" ht="16.5" thickBot="1">
      <c r="A22" s="12" t="s">
        <v>31</v>
      </c>
      <c r="B22" s="42" t="s">
        <v>66</v>
      </c>
      <c r="C22" s="6" t="s">
        <v>8</v>
      </c>
      <c r="D22" s="7" t="s">
        <v>5</v>
      </c>
      <c r="E22" s="52">
        <v>-1.4818326045318204</v>
      </c>
      <c r="F22" s="52">
        <v>-1.4737837447146833</v>
      </c>
      <c r="G22" s="53">
        <v>-1.5663456326117597</v>
      </c>
      <c r="H22" s="49">
        <f>_xlfn.STDEV.S(E22:G22)</f>
        <v>5.1275301316630474E-2</v>
      </c>
      <c r="I22" s="52">
        <v>-13.55571759286882</v>
      </c>
      <c r="J22" s="52">
        <v>-13.685840622426939</v>
      </c>
      <c r="K22" s="52">
        <v>-13.816956957554206</v>
      </c>
      <c r="L22" s="50">
        <f t="shared" ref="L22:L23" si="17">_xlfn.STDEV.S(I22:K22)</f>
        <v>0.13061999707791858</v>
      </c>
      <c r="M22" s="64">
        <v>1635</v>
      </c>
      <c r="N22" s="65">
        <v>1360</v>
      </c>
      <c r="O22" s="65">
        <v>1327</v>
      </c>
      <c r="P22" s="66">
        <v>366</v>
      </c>
      <c r="Q22" s="66">
        <v>300</v>
      </c>
      <c r="R22" s="66">
        <v>318</v>
      </c>
      <c r="S22" s="67">
        <f t="shared" ref="S22:S23" si="18">M22/P22</f>
        <v>4.4672131147540988</v>
      </c>
      <c r="T22" s="67">
        <f t="shared" ref="T22:T23" si="19">N22/Q22</f>
        <v>4.5333333333333332</v>
      </c>
      <c r="U22" s="67">
        <f t="shared" ref="U22:U23" si="20">O22/R22</f>
        <v>4.1729559748427674</v>
      </c>
      <c r="V22" s="17">
        <f t="shared" ref="V22:V23" si="21">_xlfn.STDEV.S(S22:U22)</f>
        <v>0.19184672189293914</v>
      </c>
      <c r="W22" s="28">
        <f t="shared" ref="W22" si="22">(AVERAGE(S22:U22))</f>
        <v>4.3911674743100662</v>
      </c>
      <c r="X22" s="25">
        <f>AVERAGE(E22:G22)</f>
        <v>-1.5073206606194212</v>
      </c>
      <c r="Y22" s="5">
        <f t="shared" ref="Y22:Y23" si="23">AVERAGE(I22:K22)</f>
        <v>-13.686171724283321</v>
      </c>
      <c r="Z22" s="80" t="s">
        <v>32</v>
      </c>
      <c r="AA22" s="80" t="s">
        <v>32</v>
      </c>
      <c r="AB22" s="35" t="s">
        <v>11</v>
      </c>
      <c r="AC22" s="38" t="s">
        <v>13</v>
      </c>
      <c r="AD22" s="39" t="s">
        <v>21</v>
      </c>
    </row>
    <row r="23" spans="1:30" ht="16.5" thickBot="1">
      <c r="A23" s="12" t="s">
        <v>33</v>
      </c>
      <c r="B23" s="42" t="s">
        <v>67</v>
      </c>
      <c r="C23" s="6" t="s">
        <v>8</v>
      </c>
      <c r="D23" s="7" t="s">
        <v>5</v>
      </c>
      <c r="E23" s="52">
        <v>2.7045806078566001</v>
      </c>
      <c r="F23" s="52">
        <v>2.7428126919880018</v>
      </c>
      <c r="G23" s="53">
        <v>2.8001608181851032</v>
      </c>
      <c r="H23" s="49">
        <f>_xlfn.STDEV.S(E23:G23)</f>
        <v>4.8107650884570197E-2</v>
      </c>
      <c r="I23" s="52">
        <v>-4.8156218899535812</v>
      </c>
      <c r="J23" s="52">
        <v>-4.7073515829166723</v>
      </c>
      <c r="K23" s="52">
        <v>-4.7798628894643267</v>
      </c>
      <c r="L23" s="50">
        <f t="shared" si="17"/>
        <v>5.5164987505821918E-2</v>
      </c>
      <c r="M23" s="64">
        <v>2535</v>
      </c>
      <c r="N23" s="65">
        <v>2822</v>
      </c>
      <c r="O23" s="65">
        <v>2740</v>
      </c>
      <c r="P23" s="66">
        <v>315</v>
      </c>
      <c r="Q23" s="66">
        <v>351</v>
      </c>
      <c r="R23" s="66">
        <v>367</v>
      </c>
      <c r="S23" s="67">
        <f t="shared" si="18"/>
        <v>8.0476190476190474</v>
      </c>
      <c r="T23" s="67">
        <f t="shared" si="19"/>
        <v>8.0398860398860403</v>
      </c>
      <c r="U23" s="67">
        <f t="shared" si="20"/>
        <v>7.4659400544959125</v>
      </c>
      <c r="V23" s="17">
        <f t="shared" si="21"/>
        <v>0.33362260230056051</v>
      </c>
      <c r="W23" s="28">
        <f>(AVERAGE(S23:U23))</f>
        <v>7.8511483806669995</v>
      </c>
      <c r="X23" s="23">
        <f t="shared" ref="X23" si="24">AVERAGE(E23:G23)</f>
        <v>2.7491847060099022</v>
      </c>
      <c r="Y23" s="11">
        <f t="shared" si="23"/>
        <v>-4.7676121207781934</v>
      </c>
      <c r="Z23" s="81" t="s">
        <v>21</v>
      </c>
      <c r="AA23" s="81" t="s">
        <v>47</v>
      </c>
      <c r="AB23" s="32" t="s">
        <v>9</v>
      </c>
      <c r="AC23" s="38" t="s">
        <v>11</v>
      </c>
      <c r="AD23" s="39" t="s">
        <v>13</v>
      </c>
    </row>
    <row r="24" spans="1:30" ht="46.5" thickBot="1">
      <c r="A24" s="12" t="s">
        <v>34</v>
      </c>
      <c r="B24" s="42" t="s">
        <v>68</v>
      </c>
      <c r="C24" s="6" t="s">
        <v>28</v>
      </c>
      <c r="D24" s="7" t="s">
        <v>4</v>
      </c>
      <c r="E24" s="14"/>
      <c r="F24" s="14"/>
      <c r="G24" s="57"/>
      <c r="H24" s="58"/>
      <c r="I24" s="14"/>
      <c r="J24" s="14"/>
      <c r="K24" s="14"/>
      <c r="L24" s="59"/>
      <c r="M24" s="69"/>
      <c r="N24" s="70"/>
      <c r="O24" s="70"/>
      <c r="P24" s="70"/>
      <c r="Q24" s="70"/>
      <c r="R24" s="70"/>
      <c r="S24" s="70"/>
      <c r="T24" s="70"/>
      <c r="U24" s="70"/>
      <c r="V24" s="13"/>
      <c r="W24" s="29"/>
      <c r="X24" s="24"/>
      <c r="Y24" s="13"/>
      <c r="Z24" s="79"/>
      <c r="AA24" s="79"/>
      <c r="AB24" s="33"/>
      <c r="AC24" s="33"/>
      <c r="AD24" s="40"/>
    </row>
    <row r="25" spans="1:30" ht="46.5" thickBot="1">
      <c r="A25" s="12" t="s">
        <v>35</v>
      </c>
      <c r="B25" s="42" t="s">
        <v>69</v>
      </c>
      <c r="C25" s="6" t="s">
        <v>28</v>
      </c>
      <c r="D25" s="4" t="s">
        <v>5</v>
      </c>
      <c r="E25" s="61">
        <v>-2.4293371121145158</v>
      </c>
      <c r="F25" s="61">
        <v>-2.3701613987895085</v>
      </c>
      <c r="G25" s="61">
        <v>-2.4403698722259577</v>
      </c>
      <c r="H25" s="49">
        <f>_xlfn.STDEV.S(E25:G25)</f>
        <v>3.7755168709014006E-2</v>
      </c>
      <c r="I25" s="47">
        <v>-12.106313958370825</v>
      </c>
      <c r="J25" s="47">
        <v>-12.151251874512628</v>
      </c>
      <c r="K25" s="47">
        <v>-12.143262911642973</v>
      </c>
      <c r="L25" s="50">
        <f>_xlfn.STDEV.S(I25:K25)</f>
        <v>2.3973822469546026E-2</v>
      </c>
      <c r="M25" s="64">
        <v>4058</v>
      </c>
      <c r="N25" s="65">
        <v>3304</v>
      </c>
      <c r="O25" s="65">
        <v>4427</v>
      </c>
      <c r="P25" s="66">
        <v>419</v>
      </c>
      <c r="Q25" s="66">
        <v>369</v>
      </c>
      <c r="R25" s="66">
        <v>478</v>
      </c>
      <c r="S25" s="67">
        <f t="shared" ref="S25" si="25">M25/P25</f>
        <v>9.6849642004773262</v>
      </c>
      <c r="T25" s="67">
        <f t="shared" ref="T25" si="26">N25/Q25</f>
        <v>8.9539295392953928</v>
      </c>
      <c r="U25" s="67">
        <f>O25/R25</f>
        <v>9.2615062761506284</v>
      </c>
      <c r="V25" s="17">
        <f t="shared" ref="V25" si="27">_xlfn.STDEV.S(S25:U25)</f>
        <v>0.36704489702191617</v>
      </c>
      <c r="W25" s="28">
        <f>(AVERAGE(S25:U25))</f>
        <v>9.3001333386411158</v>
      </c>
      <c r="X25" s="19">
        <f>AVERAGE(E25:G25)</f>
        <v>-2.4132894610433273</v>
      </c>
      <c r="Y25" s="5">
        <f>AVERAGE(I25:K25)</f>
        <v>-12.133609581508807</v>
      </c>
      <c r="Z25" s="78" t="s">
        <v>6</v>
      </c>
      <c r="AA25" s="78" t="s">
        <v>44</v>
      </c>
      <c r="AB25" s="34" t="s">
        <v>11</v>
      </c>
      <c r="AC25" s="38" t="s">
        <v>13</v>
      </c>
      <c r="AD25" s="39" t="s">
        <v>21</v>
      </c>
    </row>
  </sheetData>
  <phoneticPr fontId="27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IRMS CaCO3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 Ha</dc:creator>
  <cp:lastModifiedBy>Carla Perez Mon</cp:lastModifiedBy>
  <dcterms:created xsi:type="dcterms:W3CDTF">2025-04-16T21:33:41Z</dcterms:created>
  <dcterms:modified xsi:type="dcterms:W3CDTF">2025-07-23T11:22:49Z</dcterms:modified>
</cp:coreProperties>
</file>