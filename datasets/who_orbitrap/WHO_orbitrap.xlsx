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M:\postdoc_2021\who_extra_analyses\who_orbitrap\"/>
    </mc:Choice>
  </mc:AlternateContent>
  <xr:revisionPtr revIDLastSave="0" documentId="13_ncr:1_{E1A64D36-BF8B-47D7-88B6-776C47A4A301}" xr6:coauthVersionLast="47" xr6:coauthVersionMax="47" xr10:uidLastSave="{00000000-0000-0000-0000-000000000000}"/>
  <bookViews>
    <workbookView xWindow="-120" yWindow="-120" windowWidth="29040" windowHeight="15720" xr2:uid="{D959E837-864F-44E8-82D7-37ACA2CBAD80}"/>
  </bookViews>
  <sheets>
    <sheet name="quantity" sheetId="1" r:id="rId1"/>
    <sheet name="percent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6" i="2" l="1"/>
  <c r="J26" i="2"/>
  <c r="I26" i="2"/>
  <c r="H26" i="2"/>
  <c r="G26" i="2"/>
  <c r="F26" i="2"/>
  <c r="E26" i="2"/>
  <c r="D26" i="2"/>
  <c r="C26" i="2"/>
  <c r="B26" i="2"/>
</calcChain>
</file>

<file path=xl/sharedStrings.xml><?xml version="1.0" encoding="utf-8"?>
<sst xmlns="http://schemas.openxmlformats.org/spreadsheetml/2006/main" count="499" uniqueCount="66">
  <si>
    <t>L.O.D. (mg/g)</t>
  </si>
  <si>
    <t>L.O.D. (%)</t>
  </si>
  <si>
    <t>Metronidazole</t>
  </si>
  <si>
    <t>Chloroquine</t>
  </si>
  <si>
    <t>Caffeine</t>
  </si>
  <si>
    <t>Quinine</t>
  </si>
  <si>
    <t>Ciprofloxacin</t>
  </si>
  <si>
    <t>Sildenafil</t>
  </si>
  <si>
    <t>Lumefantrine</t>
  </si>
  <si>
    <t>Artemether</t>
  </si>
  <si>
    <t>Chloramphenicol</t>
  </si>
  <si>
    <t>Salicylic_acid</t>
  </si>
  <si>
    <t>n.d.</t>
  </si>
  <si>
    <t>QUIN-RT91</t>
  </si>
  <si>
    <t>QUIN-13AM</t>
  </si>
  <si>
    <t>QUIN-1ACP</t>
  </si>
  <si>
    <t>QUIN-2CUI</t>
  </si>
  <si>
    <t>QUIN-2TRQ</t>
  </si>
  <si>
    <t>QUIN-9AKZ</t>
  </si>
  <si>
    <t>QUIN-9UJH</t>
  </si>
  <si>
    <t>QUIN-A5J3</t>
  </si>
  <si>
    <t>QUIN-BD0N</t>
  </si>
  <si>
    <t>QUIN-F2A4</t>
  </si>
  <si>
    <t>QUIN-JECX</t>
  </si>
  <si>
    <t>QUIN-LB8K</t>
  </si>
  <si>
    <t>QUIN-MPFL</t>
  </si>
  <si>
    <t>QUIN-NPRS</t>
  </si>
  <si>
    <t>QUIN-NYLO</t>
  </si>
  <si>
    <t>QUIN-OEPW</t>
  </si>
  <si>
    <t>QUIN-Q9RW</t>
  </si>
  <si>
    <t>QUIN-TLZP</t>
  </si>
  <si>
    <t>QUIN-TS1C</t>
  </si>
  <si>
    <t>QUIN-X136</t>
  </si>
  <si>
    <t>QUIN-X3D7</t>
  </si>
  <si>
    <t>SDPY-JWG7</t>
  </si>
  <si>
    <t>AMOX-VYTH</t>
  </si>
  <si>
    <t>lot_id2</t>
  </si>
  <si>
    <t>QUIN-2CU1</t>
  </si>
  <si>
    <t>QUIN-2T3Q</t>
  </si>
  <si>
    <t>W17</t>
  </si>
  <si>
    <t>W01</t>
  </si>
  <si>
    <t>W04</t>
  </si>
  <si>
    <t>W09</t>
  </si>
  <si>
    <t>W08</t>
  </si>
  <si>
    <t>W14</t>
  </si>
  <si>
    <t>W07</t>
  </si>
  <si>
    <t>W11</t>
  </si>
  <si>
    <t>W15</t>
  </si>
  <si>
    <t>W20</t>
  </si>
  <si>
    <t>W21</t>
  </si>
  <si>
    <t>W18</t>
  </si>
  <si>
    <t>W19</t>
  </si>
  <si>
    <t>W05</t>
  </si>
  <si>
    <t>W23</t>
  </si>
  <si>
    <t>W12</t>
  </si>
  <si>
    <t>W06</t>
  </si>
  <si>
    <t>W10</t>
  </si>
  <si>
    <t>W13</t>
  </si>
  <si>
    <t>W02</t>
  </si>
  <si>
    <t>W03</t>
  </si>
  <si>
    <t>W16</t>
  </si>
  <si>
    <t>W22</t>
  </si>
  <si>
    <t>lot_id3</t>
  </si>
  <si>
    <t>Sulfadoxine,Pyrimethamine</t>
  </si>
  <si>
    <t>detected_not quantified</t>
  </si>
  <si>
    <t>Amoxycillin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</si>
</sst>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left" vertical="center" wrapText="1" inden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4A02-A912-4D50-9C40-7498F39C12ED}">
  <dimension ref="A1:M26"/>
  <sheetViews>
    <sheetView tabSelected="1" workbookViewId="0">
      <selection activeCell="Q9" sqref="Q9"/>
    </sheetView>
  </sheetViews>
  <sheetFormatPr defaultRowHeight="14.25"/>
  <cols>
    <col min="2" max="2" width="12.5" bestFit="1" customWidth="1"/>
    <col min="3" max="3" width="12.5" customWidth="1"/>
    <col min="4" max="4" width="11.875" customWidth="1"/>
    <col min="5" max="5" width="11.25" customWidth="1"/>
    <col min="6" max="6" width="13.125" customWidth="1"/>
    <col min="7" max="7" width="12.625" customWidth="1"/>
    <col min="8" max="8" width="10.75" customWidth="1"/>
    <col min="9" max="9" width="12.875" customWidth="1"/>
    <col min="10" max="10" width="12.125" customWidth="1"/>
    <col min="11" max="11" width="14.75" customWidth="1"/>
    <col min="12" max="12" width="13" customWidth="1"/>
    <col min="13" max="13" width="21.625" style="2" customWidth="1"/>
  </cols>
  <sheetData>
    <row r="1" spans="1:13">
      <c r="A1" t="s">
        <v>62</v>
      </c>
      <c r="B1" t="s">
        <v>36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64</v>
      </c>
    </row>
    <row r="2" spans="1:13" ht="21.75" customHeight="1">
      <c r="A2" t="s">
        <v>40</v>
      </c>
      <c r="B2" t="s">
        <v>34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  <c r="M2" s="3" t="s">
        <v>63</v>
      </c>
    </row>
    <row r="3" spans="1:13">
      <c r="A3" t="s">
        <v>58</v>
      </c>
      <c r="B3" t="s">
        <v>37</v>
      </c>
      <c r="C3" s="1" t="s">
        <v>12</v>
      </c>
      <c r="D3" s="1">
        <v>20.753674680980712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3">
      <c r="A4" t="s">
        <v>59</v>
      </c>
      <c r="B4" t="s">
        <v>15</v>
      </c>
      <c r="C4" s="1" t="s">
        <v>12</v>
      </c>
      <c r="D4" s="1">
        <v>24.092922111744507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3">
      <c r="A5" t="s">
        <v>41</v>
      </c>
      <c r="B5" t="s">
        <v>33</v>
      </c>
      <c r="C5" s="1">
        <v>6.648416725499659E-2</v>
      </c>
      <c r="D5" s="1">
        <v>14.81725280740015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 t="s">
        <v>12</v>
      </c>
      <c r="K5" s="1">
        <v>4.6182719283431616E-2</v>
      </c>
      <c r="L5" s="1" t="s">
        <v>12</v>
      </c>
    </row>
    <row r="6" spans="1:13">
      <c r="A6" t="s">
        <v>52</v>
      </c>
      <c r="B6" t="s">
        <v>22</v>
      </c>
      <c r="C6" s="1">
        <v>0.11692729564995466</v>
      </c>
      <c r="D6" s="1">
        <v>8.3144331444947515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3">
      <c r="A7" t="s">
        <v>55</v>
      </c>
      <c r="B7" t="s">
        <v>19</v>
      </c>
      <c r="C7" s="1">
        <v>9.1786610957245302E-2</v>
      </c>
      <c r="D7" s="1">
        <v>12.264503833246236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 t="s">
        <v>12</v>
      </c>
      <c r="K7" s="1">
        <v>0.29527560172843037</v>
      </c>
      <c r="L7" s="1" t="s">
        <v>12</v>
      </c>
    </row>
    <row r="8" spans="1:13">
      <c r="A8" t="s">
        <v>45</v>
      </c>
      <c r="B8" t="s">
        <v>29</v>
      </c>
      <c r="C8" s="1" t="s">
        <v>12</v>
      </c>
      <c r="D8" s="1">
        <v>14.022827132876493</v>
      </c>
      <c r="E8" s="1" t="s">
        <v>12</v>
      </c>
      <c r="F8" s="1" t="s">
        <v>12</v>
      </c>
      <c r="G8" s="1" t="s">
        <v>12</v>
      </c>
      <c r="H8" s="1" t="s">
        <v>12</v>
      </c>
      <c r="I8" s="1" t="s">
        <v>12</v>
      </c>
      <c r="J8" s="1" t="s">
        <v>12</v>
      </c>
      <c r="K8" s="1">
        <v>7.8548451539562497E-2</v>
      </c>
      <c r="L8" s="1" t="s">
        <v>12</v>
      </c>
    </row>
    <row r="9" spans="1:13">
      <c r="A9" t="s">
        <v>43</v>
      </c>
      <c r="B9" t="s">
        <v>31</v>
      </c>
      <c r="C9" s="1" t="s">
        <v>12</v>
      </c>
      <c r="D9" s="1">
        <v>14.883076356710571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12</v>
      </c>
      <c r="J9" s="1" t="s">
        <v>12</v>
      </c>
      <c r="K9" s="1">
        <v>9.2628179527781837E-2</v>
      </c>
      <c r="L9" s="1" t="s">
        <v>12</v>
      </c>
    </row>
    <row r="10" spans="1:13">
      <c r="A10" t="s">
        <v>42</v>
      </c>
      <c r="B10" t="s">
        <v>32</v>
      </c>
      <c r="C10" s="1">
        <v>6.6922876133192935E-2</v>
      </c>
      <c r="D10" s="1">
        <v>11.526125622461878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3">
      <c r="A11" t="s">
        <v>56</v>
      </c>
      <c r="B11" t="s">
        <v>18</v>
      </c>
      <c r="C11" s="1">
        <v>0.41295484710709063</v>
      </c>
      <c r="D11" s="1" t="s">
        <v>12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 t="s">
        <v>12</v>
      </c>
      <c r="K11" s="1">
        <v>26.012505189920212</v>
      </c>
      <c r="L11" s="1" t="s">
        <v>12</v>
      </c>
    </row>
    <row r="12" spans="1:13">
      <c r="A12" t="s">
        <v>46</v>
      </c>
      <c r="B12" t="s">
        <v>28</v>
      </c>
      <c r="C12" s="1">
        <v>0.81507051549241216</v>
      </c>
      <c r="D12" s="1" t="s">
        <v>12</v>
      </c>
      <c r="E12" s="1">
        <v>0.60161590915064977</v>
      </c>
      <c r="F12" s="1" t="s">
        <v>12</v>
      </c>
      <c r="G12" s="1" t="s">
        <v>12</v>
      </c>
      <c r="H12" s="1" t="s">
        <v>12</v>
      </c>
      <c r="I12" s="1" t="s">
        <v>12</v>
      </c>
      <c r="J12" s="1" t="s">
        <v>12</v>
      </c>
      <c r="K12" s="1">
        <v>20.926996168586438</v>
      </c>
      <c r="L12" s="1">
        <v>5.7344442648405013E-2</v>
      </c>
    </row>
    <row r="13" spans="1:13">
      <c r="A13" t="s">
        <v>54</v>
      </c>
      <c r="B13" t="s">
        <v>20</v>
      </c>
      <c r="C13" s="1" t="s">
        <v>12</v>
      </c>
      <c r="D13" s="1">
        <v>22.523993942452101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3">
      <c r="A14" t="s">
        <v>57</v>
      </c>
      <c r="B14" t="s">
        <v>38</v>
      </c>
      <c r="C14" s="1" t="s">
        <v>12</v>
      </c>
      <c r="D14" s="1">
        <v>12.635236699880405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3">
      <c r="A15" t="s">
        <v>44</v>
      </c>
      <c r="B15" t="s">
        <v>30</v>
      </c>
      <c r="C15" s="1" t="s">
        <v>12</v>
      </c>
      <c r="D15" s="1">
        <v>13.890973546583492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3">
      <c r="A16" t="s">
        <v>47</v>
      </c>
      <c r="B16" t="s">
        <v>27</v>
      </c>
      <c r="C16" s="1" t="s">
        <v>12</v>
      </c>
      <c r="D16" s="1">
        <v>14.470677170178057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3">
      <c r="A17" t="s">
        <v>60</v>
      </c>
      <c r="B17" t="s">
        <v>14</v>
      </c>
      <c r="C17" s="1" t="s">
        <v>12</v>
      </c>
      <c r="D17" s="1" t="s">
        <v>12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12</v>
      </c>
      <c r="J17" s="1" t="s">
        <v>12</v>
      </c>
      <c r="K17" s="1">
        <v>24.443255329991601</v>
      </c>
      <c r="L17" s="1" t="s">
        <v>12</v>
      </c>
    </row>
    <row r="18" spans="1:13">
      <c r="A18" t="s">
        <v>39</v>
      </c>
      <c r="B18" t="s">
        <v>35</v>
      </c>
      <c r="C18" s="1" t="s">
        <v>12</v>
      </c>
      <c r="D18" s="1" t="s">
        <v>12</v>
      </c>
      <c r="E18" s="1" t="s">
        <v>12</v>
      </c>
      <c r="F18" s="1">
        <v>1.3192607781567156</v>
      </c>
      <c r="G18" s="1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  <c r="M18" s="4" t="s">
        <v>65</v>
      </c>
    </row>
    <row r="19" spans="1:13">
      <c r="A19" t="s">
        <v>39</v>
      </c>
      <c r="B19" t="s">
        <v>35</v>
      </c>
      <c r="C19" s="1" t="s">
        <v>12</v>
      </c>
      <c r="D19" s="1" t="s">
        <v>12</v>
      </c>
      <c r="E19" s="1" t="s">
        <v>12</v>
      </c>
      <c r="F19" s="1">
        <v>1.3870715056234224</v>
      </c>
      <c r="G19" s="1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  <c r="M19" s="4" t="s">
        <v>65</v>
      </c>
    </row>
    <row r="20" spans="1:13">
      <c r="A20" t="s">
        <v>50</v>
      </c>
      <c r="B20" t="s">
        <v>24</v>
      </c>
      <c r="C20" s="1">
        <v>150.00227577833854</v>
      </c>
      <c r="D20" s="1" t="s">
        <v>12</v>
      </c>
      <c r="E20" s="1" t="s">
        <v>12</v>
      </c>
      <c r="F20" s="1" t="s">
        <v>12</v>
      </c>
      <c r="G20" s="1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3">
      <c r="A21" t="s">
        <v>51</v>
      </c>
      <c r="B21" t="s">
        <v>23</v>
      </c>
      <c r="C21" s="1">
        <v>3.04803273825181</v>
      </c>
      <c r="D21" s="1" t="s">
        <v>12</v>
      </c>
      <c r="E21" s="1">
        <v>78.932485258667242</v>
      </c>
      <c r="F21" s="1" t="s">
        <v>12</v>
      </c>
      <c r="G21" s="1" t="s">
        <v>12</v>
      </c>
      <c r="H21" s="1" t="s">
        <v>12</v>
      </c>
      <c r="I21" s="1" t="s">
        <v>12</v>
      </c>
      <c r="J21" s="1" t="s">
        <v>12</v>
      </c>
      <c r="K21" s="1">
        <v>3.8518507984829409</v>
      </c>
      <c r="L21" s="1">
        <v>10.288942315982222</v>
      </c>
    </row>
    <row r="22" spans="1:13">
      <c r="A22" t="s">
        <v>48</v>
      </c>
      <c r="B22" t="s">
        <v>26</v>
      </c>
      <c r="C22" s="1">
        <v>27.644267198042165</v>
      </c>
      <c r="D22" s="1" t="s">
        <v>12</v>
      </c>
      <c r="E22" s="1" t="s">
        <v>12</v>
      </c>
      <c r="F22" s="1">
        <v>6.4279761819805908E-2</v>
      </c>
      <c r="G22" s="1" t="s">
        <v>12</v>
      </c>
      <c r="H22" s="1" t="s">
        <v>12</v>
      </c>
      <c r="I22" s="1" t="s">
        <v>12</v>
      </c>
      <c r="J22" s="1" t="s">
        <v>12</v>
      </c>
      <c r="K22" s="1">
        <v>0.987683524111162</v>
      </c>
      <c r="L22" s="1" t="s">
        <v>12</v>
      </c>
    </row>
    <row r="23" spans="1:13">
      <c r="A23" t="s">
        <v>49</v>
      </c>
      <c r="B23" t="s">
        <v>25</v>
      </c>
      <c r="C23" s="1" t="s">
        <v>12</v>
      </c>
      <c r="D23" s="1" t="s">
        <v>12</v>
      </c>
      <c r="E23" s="1" t="s">
        <v>12</v>
      </c>
      <c r="F23" s="1" t="s">
        <v>12</v>
      </c>
      <c r="G23" s="1" t="s">
        <v>12</v>
      </c>
      <c r="H23" s="1" t="s">
        <v>12</v>
      </c>
      <c r="I23" s="1" t="s">
        <v>12</v>
      </c>
      <c r="J23" s="1" t="s">
        <v>12</v>
      </c>
      <c r="K23" s="1">
        <v>19.216090992828793</v>
      </c>
      <c r="L23" s="1" t="s">
        <v>12</v>
      </c>
    </row>
    <row r="24" spans="1:13">
      <c r="A24" t="s">
        <v>61</v>
      </c>
      <c r="B24" t="s">
        <v>13</v>
      </c>
      <c r="C24" s="1" t="s">
        <v>12</v>
      </c>
      <c r="D24" s="1" t="s">
        <v>12</v>
      </c>
      <c r="E24" s="1" t="s">
        <v>12</v>
      </c>
      <c r="F24" s="1">
        <v>19.31273050355734</v>
      </c>
      <c r="G24" s="1" t="s">
        <v>12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</row>
    <row r="25" spans="1:13">
      <c r="A25" t="s">
        <v>53</v>
      </c>
      <c r="B25" t="s">
        <v>21</v>
      </c>
      <c r="C25" s="1">
        <v>2.4686488492919789</v>
      </c>
      <c r="D25" s="1" t="s">
        <v>12</v>
      </c>
      <c r="E25" s="1" t="s">
        <v>12</v>
      </c>
      <c r="F25" s="1">
        <v>13.614344240407148</v>
      </c>
      <c r="G25" s="1" t="s">
        <v>12</v>
      </c>
      <c r="H25" s="1" t="s">
        <v>12</v>
      </c>
      <c r="I25" s="1" t="s">
        <v>12</v>
      </c>
      <c r="J25" s="1" t="s">
        <v>12</v>
      </c>
      <c r="K25" s="1" t="s">
        <v>12</v>
      </c>
      <c r="L25" s="1" t="s">
        <v>12</v>
      </c>
    </row>
    <row r="26" spans="1:13">
      <c r="B26" t="s">
        <v>0</v>
      </c>
      <c r="C26">
        <v>0.06</v>
      </c>
      <c r="D26">
        <v>0.1</v>
      </c>
      <c r="E26">
        <v>0.1</v>
      </c>
      <c r="F26">
        <v>0.05</v>
      </c>
      <c r="G26">
        <v>0.05</v>
      </c>
      <c r="H26">
        <v>0.02</v>
      </c>
      <c r="I26">
        <v>0.01</v>
      </c>
      <c r="J26">
        <v>0.03</v>
      </c>
      <c r="K26">
        <v>0.01</v>
      </c>
      <c r="L26">
        <v>0.05</v>
      </c>
    </row>
  </sheetData>
  <sortState xmlns:xlrd2="http://schemas.microsoft.com/office/spreadsheetml/2017/richdata2" ref="A2:L26">
    <sortCondition ref="A1:A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2697-8D6F-452B-A3FF-14F64061ACB8}">
  <dimension ref="A1:K26"/>
  <sheetViews>
    <sheetView workbookViewId="0">
      <selection sqref="A1:A1048576"/>
    </sheetView>
  </sheetViews>
  <sheetFormatPr defaultRowHeight="14.25"/>
  <cols>
    <col min="1" max="1" width="11.75" bestFit="1" customWidth="1"/>
  </cols>
  <sheetData>
    <row r="1" spans="1:11">
      <c r="A1" t="s">
        <v>36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>
      <c r="A2" t="s">
        <v>13</v>
      </c>
      <c r="B2" s="1" t="s">
        <v>12</v>
      </c>
      <c r="C2" s="1" t="s">
        <v>12</v>
      </c>
      <c r="D2" s="1" t="s">
        <v>12</v>
      </c>
      <c r="E2" s="1">
        <v>1.931273050355734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</row>
    <row r="3" spans="1:11">
      <c r="A3" t="s">
        <v>14</v>
      </c>
      <c r="B3" s="1" t="s">
        <v>12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>
        <v>2.44432553299916</v>
      </c>
      <c r="K3" s="1" t="s">
        <v>12</v>
      </c>
    </row>
    <row r="4" spans="1:11">
      <c r="A4" t="s">
        <v>15</v>
      </c>
      <c r="B4" s="1" t="s">
        <v>12</v>
      </c>
      <c r="C4" s="1">
        <v>2.4092922111744506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K4" s="1" t="s">
        <v>12</v>
      </c>
    </row>
    <row r="5" spans="1:11">
      <c r="A5" t="s">
        <v>16</v>
      </c>
      <c r="B5" s="1" t="s">
        <v>12</v>
      </c>
      <c r="C5" s="1">
        <v>2.0753674680980714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 t="s">
        <v>12</v>
      </c>
      <c r="K5" s="1" t="s">
        <v>12</v>
      </c>
    </row>
    <row r="6" spans="1:11">
      <c r="A6" t="s">
        <v>17</v>
      </c>
      <c r="B6" s="1" t="s">
        <v>12</v>
      </c>
      <c r="C6" s="1">
        <v>1.2635236699880406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1" t="s">
        <v>12</v>
      </c>
      <c r="K6" s="1" t="s">
        <v>12</v>
      </c>
    </row>
    <row r="7" spans="1:11">
      <c r="A7" t="s">
        <v>18</v>
      </c>
      <c r="B7" s="1">
        <v>4.1295484710709061E-2</v>
      </c>
      <c r="C7" s="1" t="s">
        <v>12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>
        <v>2.6012505189920212</v>
      </c>
      <c r="K7" s="1" t="s">
        <v>12</v>
      </c>
    </row>
    <row r="8" spans="1:11">
      <c r="A8" t="s">
        <v>19</v>
      </c>
      <c r="B8" s="1">
        <v>9.1786610957245302E-3</v>
      </c>
      <c r="C8" s="1">
        <v>1.2264503833246236</v>
      </c>
      <c r="D8" s="1" t="s">
        <v>12</v>
      </c>
      <c r="E8" s="1" t="s">
        <v>12</v>
      </c>
      <c r="F8" s="1" t="s">
        <v>12</v>
      </c>
      <c r="G8" s="1" t="s">
        <v>12</v>
      </c>
      <c r="H8" s="1" t="s">
        <v>12</v>
      </c>
      <c r="I8" s="1" t="s">
        <v>12</v>
      </c>
      <c r="J8" s="1">
        <v>2.9527560172843036E-2</v>
      </c>
      <c r="K8" s="1" t="s">
        <v>12</v>
      </c>
    </row>
    <row r="9" spans="1:11">
      <c r="A9" t="s">
        <v>20</v>
      </c>
      <c r="B9" s="1" t="s">
        <v>12</v>
      </c>
      <c r="C9" s="1">
        <v>2.2523993942452103</v>
      </c>
      <c r="D9" s="1" t="s">
        <v>12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12</v>
      </c>
      <c r="J9" s="1" t="s">
        <v>12</v>
      </c>
      <c r="K9" s="1" t="s">
        <v>12</v>
      </c>
    </row>
    <row r="10" spans="1:11">
      <c r="A10" t="s">
        <v>21</v>
      </c>
      <c r="B10" s="1">
        <v>0.24686488492919789</v>
      </c>
      <c r="C10" s="1" t="s">
        <v>12</v>
      </c>
      <c r="D10" s="1" t="s">
        <v>12</v>
      </c>
      <c r="E10" s="1">
        <v>1.3614344240407148</v>
      </c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12</v>
      </c>
      <c r="K10" s="1" t="s">
        <v>12</v>
      </c>
    </row>
    <row r="11" spans="1:11">
      <c r="A11" t="s">
        <v>22</v>
      </c>
      <c r="B11" s="1">
        <v>1.1692729564995466E-2</v>
      </c>
      <c r="C11" s="1">
        <v>0.83144331444947517</v>
      </c>
      <c r="D11" s="1" t="s">
        <v>12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 t="s">
        <v>12</v>
      </c>
      <c r="K11" s="1" t="s">
        <v>12</v>
      </c>
    </row>
    <row r="12" spans="1:11">
      <c r="A12" t="s">
        <v>23</v>
      </c>
      <c r="B12" s="1">
        <v>0.30480327382518102</v>
      </c>
      <c r="C12" s="1" t="s">
        <v>12</v>
      </c>
      <c r="D12" s="1">
        <v>7.8932485258667242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12</v>
      </c>
      <c r="J12" s="1">
        <v>0.38518507984829409</v>
      </c>
      <c r="K12" s="1">
        <v>1.0288942315982221</v>
      </c>
    </row>
    <row r="13" spans="1:11">
      <c r="A13" t="s">
        <v>24</v>
      </c>
      <c r="B13" s="1">
        <v>15.000227577833854</v>
      </c>
      <c r="C13" s="1" t="s">
        <v>12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1" t="s">
        <v>12</v>
      </c>
      <c r="K13" s="1" t="s">
        <v>12</v>
      </c>
    </row>
    <row r="14" spans="1:11">
      <c r="A14" t="s">
        <v>25</v>
      </c>
      <c r="B14" s="1" t="s">
        <v>12</v>
      </c>
      <c r="C14" s="1" t="s">
        <v>12</v>
      </c>
      <c r="D14" s="1" t="s">
        <v>12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  <c r="J14" s="1">
        <v>1.9216090992828794</v>
      </c>
      <c r="K14" s="1" t="s">
        <v>12</v>
      </c>
    </row>
    <row r="15" spans="1:11">
      <c r="A15" t="s">
        <v>26</v>
      </c>
      <c r="B15" s="1">
        <v>2.7644267198042165</v>
      </c>
      <c r="C15" s="1" t="s">
        <v>12</v>
      </c>
      <c r="D15" s="1" t="s">
        <v>12</v>
      </c>
      <c r="E15" s="1">
        <v>6.4279761819805905E-3</v>
      </c>
      <c r="F15" s="1" t="s">
        <v>12</v>
      </c>
      <c r="G15" s="1" t="s">
        <v>12</v>
      </c>
      <c r="H15" s="1" t="s">
        <v>12</v>
      </c>
      <c r="I15" s="1" t="s">
        <v>12</v>
      </c>
      <c r="J15" s="1">
        <v>9.87683524111162E-2</v>
      </c>
      <c r="K15" s="1" t="s">
        <v>12</v>
      </c>
    </row>
    <row r="16" spans="1:11">
      <c r="A16" t="s">
        <v>27</v>
      </c>
      <c r="B16" s="1" t="s">
        <v>12</v>
      </c>
      <c r="C16" s="1">
        <v>1.4470677170178057</v>
      </c>
      <c r="D16" s="1" t="s">
        <v>12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12</v>
      </c>
      <c r="J16" s="1" t="s">
        <v>12</v>
      </c>
      <c r="K16" s="1" t="s">
        <v>12</v>
      </c>
    </row>
    <row r="17" spans="1:11">
      <c r="A17" t="s">
        <v>28</v>
      </c>
      <c r="B17" s="1">
        <v>8.1507051549241219E-2</v>
      </c>
      <c r="C17" s="1" t="s">
        <v>12</v>
      </c>
      <c r="D17" s="1">
        <v>6.0161590915064976E-2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12</v>
      </c>
      <c r="J17" s="1">
        <v>2.0926996168586438</v>
      </c>
      <c r="K17" s="1">
        <v>5.7344442648405011E-3</v>
      </c>
    </row>
    <row r="18" spans="1:11">
      <c r="A18" t="s">
        <v>29</v>
      </c>
      <c r="B18" s="1" t="s">
        <v>12</v>
      </c>
      <c r="C18" s="1">
        <v>1.4022827132876494</v>
      </c>
      <c r="D18" s="1" t="s">
        <v>12</v>
      </c>
      <c r="E18" s="1" t="s">
        <v>12</v>
      </c>
      <c r="F18" s="1" t="s">
        <v>12</v>
      </c>
      <c r="G18" s="1" t="s">
        <v>12</v>
      </c>
      <c r="H18" s="1" t="s">
        <v>12</v>
      </c>
      <c r="I18" s="1" t="s">
        <v>12</v>
      </c>
      <c r="J18" s="1">
        <v>7.8548451539562497E-3</v>
      </c>
      <c r="K18" s="1" t="s">
        <v>12</v>
      </c>
    </row>
    <row r="19" spans="1:11">
      <c r="A19" t="s">
        <v>30</v>
      </c>
      <c r="B19" s="1" t="s">
        <v>12</v>
      </c>
      <c r="C19" s="1">
        <v>1.3890973546583492</v>
      </c>
      <c r="D19" s="1" t="s">
        <v>12</v>
      </c>
      <c r="E19" s="1" t="s">
        <v>12</v>
      </c>
      <c r="F19" s="1" t="s">
        <v>12</v>
      </c>
      <c r="G19" s="1" t="s">
        <v>12</v>
      </c>
      <c r="H19" s="1" t="s">
        <v>12</v>
      </c>
      <c r="I19" s="1" t="s">
        <v>12</v>
      </c>
      <c r="J19" s="1" t="s">
        <v>12</v>
      </c>
      <c r="K19" s="1" t="s">
        <v>12</v>
      </c>
    </row>
    <row r="20" spans="1:11">
      <c r="A20" t="s">
        <v>31</v>
      </c>
      <c r="B20" s="1" t="s">
        <v>12</v>
      </c>
      <c r="C20" s="1">
        <v>1.4883076356710572</v>
      </c>
      <c r="D20" s="1" t="s">
        <v>12</v>
      </c>
      <c r="E20" s="1" t="s">
        <v>12</v>
      </c>
      <c r="F20" s="1" t="s">
        <v>12</v>
      </c>
      <c r="G20" s="1" t="s">
        <v>12</v>
      </c>
      <c r="H20" s="1" t="s">
        <v>12</v>
      </c>
      <c r="I20" s="1" t="s">
        <v>12</v>
      </c>
      <c r="J20" s="1">
        <v>9.2628179527781841E-3</v>
      </c>
      <c r="K20" s="1" t="s">
        <v>12</v>
      </c>
    </row>
    <row r="21" spans="1:11">
      <c r="A21" t="s">
        <v>32</v>
      </c>
      <c r="B21" s="1">
        <v>6.6922876133192937E-3</v>
      </c>
      <c r="C21" s="1">
        <v>1.1526125622461878</v>
      </c>
      <c r="D21" s="1" t="s">
        <v>12</v>
      </c>
      <c r="E21" s="1" t="s">
        <v>12</v>
      </c>
      <c r="F21" s="1" t="s">
        <v>12</v>
      </c>
      <c r="G21" s="1" t="s">
        <v>12</v>
      </c>
      <c r="H21" s="1" t="s">
        <v>12</v>
      </c>
      <c r="I21" s="1" t="s">
        <v>12</v>
      </c>
      <c r="J21" s="1" t="s">
        <v>12</v>
      </c>
      <c r="K21" s="1" t="s">
        <v>12</v>
      </c>
    </row>
    <row r="22" spans="1:11">
      <c r="A22" t="s">
        <v>33</v>
      </c>
      <c r="B22" s="1">
        <v>6.6484167254996594E-3</v>
      </c>
      <c r="C22" s="1">
        <v>1.481725280740015</v>
      </c>
      <c r="D22" s="1" t="s">
        <v>12</v>
      </c>
      <c r="E22" s="1" t="s">
        <v>12</v>
      </c>
      <c r="F22" s="1" t="s">
        <v>12</v>
      </c>
      <c r="G22" s="1" t="s">
        <v>12</v>
      </c>
      <c r="H22" s="1" t="s">
        <v>12</v>
      </c>
      <c r="I22" s="1" t="s">
        <v>12</v>
      </c>
      <c r="J22" s="1">
        <v>4.6182719283431612E-3</v>
      </c>
      <c r="K22" s="1" t="s">
        <v>12</v>
      </c>
    </row>
    <row r="23" spans="1:11">
      <c r="A23" t="s">
        <v>34</v>
      </c>
      <c r="B23" s="1" t="s">
        <v>12</v>
      </c>
      <c r="C23" s="1" t="s">
        <v>12</v>
      </c>
      <c r="D23" s="1" t="s">
        <v>12</v>
      </c>
      <c r="E23" s="1" t="s">
        <v>12</v>
      </c>
      <c r="F23" s="1" t="s">
        <v>12</v>
      </c>
      <c r="G23" s="1" t="s">
        <v>12</v>
      </c>
      <c r="H23" s="1" t="s">
        <v>12</v>
      </c>
      <c r="I23" s="1" t="s">
        <v>12</v>
      </c>
      <c r="J23" s="1" t="s">
        <v>12</v>
      </c>
      <c r="K23" s="1" t="s">
        <v>12</v>
      </c>
    </row>
    <row r="24" spans="1:11">
      <c r="A24" t="s">
        <v>35</v>
      </c>
      <c r="B24" s="1" t="s">
        <v>12</v>
      </c>
      <c r="C24" s="1" t="s">
        <v>12</v>
      </c>
      <c r="D24" s="1" t="s">
        <v>12</v>
      </c>
      <c r="E24" s="1">
        <v>0.13192607781567156</v>
      </c>
      <c r="F24" s="1" t="s">
        <v>12</v>
      </c>
      <c r="G24" s="1" t="s">
        <v>12</v>
      </c>
      <c r="H24" s="1" t="s">
        <v>12</v>
      </c>
      <c r="I24" s="1" t="s">
        <v>12</v>
      </c>
      <c r="J24" s="1" t="s">
        <v>12</v>
      </c>
      <c r="K24" s="1" t="s">
        <v>12</v>
      </c>
    </row>
    <row r="25" spans="1:11">
      <c r="A25" t="s">
        <v>35</v>
      </c>
      <c r="B25" s="1" t="s">
        <v>12</v>
      </c>
      <c r="C25" s="1" t="s">
        <v>12</v>
      </c>
      <c r="D25" s="1" t="s">
        <v>12</v>
      </c>
      <c r="E25" s="1">
        <v>0.13870715056234223</v>
      </c>
      <c r="F25" s="1" t="s">
        <v>12</v>
      </c>
      <c r="G25" s="1" t="s">
        <v>12</v>
      </c>
      <c r="H25" s="1" t="s">
        <v>12</v>
      </c>
      <c r="I25" s="1" t="s">
        <v>12</v>
      </c>
      <c r="J25" s="1" t="s">
        <v>12</v>
      </c>
      <c r="K25" s="1" t="s">
        <v>12</v>
      </c>
    </row>
    <row r="26" spans="1:11">
      <c r="A26" t="s">
        <v>1</v>
      </c>
      <c r="B26">
        <f>quantity!C26/10</f>
        <v>6.0000000000000001E-3</v>
      </c>
      <c r="C26">
        <f>quantity!D26/10</f>
        <v>0.01</v>
      </c>
      <c r="D26">
        <f>quantity!E26/10</f>
        <v>0.01</v>
      </c>
      <c r="E26">
        <f>quantity!F26/10</f>
        <v>5.0000000000000001E-3</v>
      </c>
      <c r="F26">
        <f>quantity!G26/10</f>
        <v>5.0000000000000001E-3</v>
      </c>
      <c r="G26">
        <f>quantity!H26/10</f>
        <v>2E-3</v>
      </c>
      <c r="H26">
        <f>quantity!I26/10</f>
        <v>1E-3</v>
      </c>
      <c r="I26">
        <f>quantity!J26/10</f>
        <v>3.0000000000000001E-3</v>
      </c>
      <c r="J26">
        <f>quantity!K26/10</f>
        <v>1E-3</v>
      </c>
      <c r="K26">
        <f>quantity!L26/10</f>
        <v>5.0000000000000001E-3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quantity</vt:lpstr>
      <vt:lpstr>percentage</vt:lpstr>
    </vt:vector>
  </TitlesOfParts>
  <Company>Fondazione Edmund Mach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Roncone</dc:creator>
  <cp:lastModifiedBy>Carla Perez Mon</cp:lastModifiedBy>
  <dcterms:created xsi:type="dcterms:W3CDTF">2026-01-20T11:46:43Z</dcterms:created>
  <dcterms:modified xsi:type="dcterms:W3CDTF">2026-02-11T13:58:44Z</dcterms:modified>
</cp:coreProperties>
</file>