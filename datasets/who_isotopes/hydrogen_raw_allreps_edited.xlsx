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M:\postdoc_2021\who_extra_analyses\who_isotopes\"/>
    </mc:Choice>
  </mc:AlternateContent>
  <xr:revisionPtr revIDLastSave="0" documentId="13_ncr:1_{2DC9D457-C581-44C1-9A0E-735D6897D0F6}" xr6:coauthVersionLast="47" xr6:coauthVersionMax="47" xr10:uidLastSave="{00000000-0000-0000-0000-000000000000}"/>
  <bookViews>
    <workbookView xWindow="-120" yWindow="-120" windowWidth="29040" windowHeight="15720" xr2:uid="{DAB225F5-040C-E343-99D7-A5AA3B6B9C55}"/>
  </bookViews>
  <sheets>
    <sheet name="IRMS_Fe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2" l="1"/>
  <c r="K23" i="2"/>
  <c r="K24" i="2"/>
  <c r="K25" i="2"/>
  <c r="K22" i="2"/>
  <c r="L21" i="2"/>
  <c r="K21" i="2"/>
  <c r="K20" i="2"/>
  <c r="K19" i="2"/>
  <c r="K18" i="2" l="1"/>
  <c r="K17" i="2"/>
  <c r="K16" i="2"/>
  <c r="K15" i="2"/>
  <c r="L14" i="2"/>
  <c r="K13" i="2"/>
  <c r="K12" i="2"/>
  <c r="K11" i="2"/>
  <c r="K10" i="2"/>
  <c r="L9" i="2"/>
  <c r="K9" i="2"/>
  <c r="K8" i="2"/>
  <c r="K7" i="2"/>
  <c r="K6" i="2"/>
  <c r="K5" i="2"/>
  <c r="K4" i="2"/>
  <c r="L3" i="2"/>
  <c r="K3" i="2"/>
  <c r="K2" i="2"/>
</calcChain>
</file>

<file path=xl/sharedStrings.xml><?xml version="1.0" encoding="utf-8"?>
<sst xmlns="http://schemas.openxmlformats.org/spreadsheetml/2006/main" count="110" uniqueCount="88">
  <si>
    <t>SDPY-JWG7-T</t>
  </si>
  <si>
    <t>W1</t>
  </si>
  <si>
    <t>QUIN-2CU1-T</t>
  </si>
  <si>
    <t>W2</t>
  </si>
  <si>
    <t>QUIN-1ACP-T</t>
  </si>
  <si>
    <t>W3</t>
  </si>
  <si>
    <t>QUIN-X3D7-T</t>
  </si>
  <si>
    <t>W4</t>
  </si>
  <si>
    <t>QUIN-F2A4-T</t>
  </si>
  <si>
    <t>W5</t>
  </si>
  <si>
    <t>QUIN-9UJH-T</t>
  </si>
  <si>
    <t>W6</t>
  </si>
  <si>
    <t>QUIN-Q9RW-T</t>
  </si>
  <si>
    <t>W7</t>
  </si>
  <si>
    <t>QUIN-TS1C-T</t>
  </si>
  <si>
    <t>W8</t>
  </si>
  <si>
    <t>QUIN-X136-T</t>
  </si>
  <si>
    <t>W9</t>
  </si>
  <si>
    <t>QUIN-9AKZ-T</t>
  </si>
  <si>
    <t>W10</t>
  </si>
  <si>
    <t>QUIN-OEPW-T</t>
  </si>
  <si>
    <t>W11</t>
  </si>
  <si>
    <t>QUIN-A5J3-T</t>
  </si>
  <si>
    <t>W12</t>
  </si>
  <si>
    <t>QUIN-2T3Q-T</t>
  </si>
  <si>
    <t>W13</t>
  </si>
  <si>
    <t>QUIN-TLZP-T</t>
  </si>
  <si>
    <t>W14</t>
  </si>
  <si>
    <t>QUIN-NYLO-T</t>
  </si>
  <si>
    <t>W15</t>
  </si>
  <si>
    <t>QUIN-13AM-T</t>
  </si>
  <si>
    <t>W16</t>
  </si>
  <si>
    <t>QUIN-LB8K-T</t>
  </si>
  <si>
    <t>W18</t>
  </si>
  <si>
    <t>QUIN-JECX-T</t>
  </si>
  <si>
    <t>W19</t>
  </si>
  <si>
    <t>QUIN-NPRS-T</t>
  </si>
  <si>
    <t>W20</t>
  </si>
  <si>
    <t>QUIN-MPFL-T</t>
  </si>
  <si>
    <t>W21</t>
  </si>
  <si>
    <t>QUIN-RT91-T</t>
  </si>
  <si>
    <t>W22</t>
  </si>
  <si>
    <t>QUIN-BD0N-T</t>
  </si>
  <si>
    <t>W23</t>
  </si>
  <si>
    <t>S25-037707</t>
  </si>
  <si>
    <t>S25-037708</t>
  </si>
  <si>
    <t>S25-037709</t>
  </si>
  <si>
    <t>S25-037710</t>
  </si>
  <si>
    <t>S25-037711</t>
  </si>
  <si>
    <t>S25-037712</t>
  </si>
  <si>
    <t>S25-037713</t>
  </si>
  <si>
    <t>S25-037714</t>
  </si>
  <si>
    <t>S25-037715</t>
  </si>
  <si>
    <t>S25-037716</t>
  </si>
  <si>
    <t>S25-037717</t>
  </si>
  <si>
    <t>S25-037718</t>
  </si>
  <si>
    <t>S25-037719</t>
  </si>
  <si>
    <t>S25-037720</t>
  </si>
  <si>
    <t>S25-037721</t>
  </si>
  <si>
    <t>S25-037722</t>
  </si>
  <si>
    <t>S25-037723</t>
  </si>
  <si>
    <t>Nautilus number</t>
  </si>
  <si>
    <t>SD</t>
  </si>
  <si>
    <t>n</t>
  </si>
  <si>
    <t>mean</t>
  </si>
  <si>
    <t>S25-037742</t>
  </si>
  <si>
    <t>S25-037724</t>
  </si>
  <si>
    <t>S25-037725</t>
  </si>
  <si>
    <t>S25-037726</t>
  </si>
  <si>
    <t>S25-037727</t>
  </si>
  <si>
    <t>S25-037728</t>
  </si>
  <si>
    <t>S25-037729</t>
  </si>
  <si>
    <t>BIW-IRMS</t>
  </si>
  <si>
    <t>888_B1</t>
  </si>
  <si>
    <t>881_B2</t>
  </si>
  <si>
    <t>Measurement 1</t>
  </si>
  <si>
    <t>Measurement 2</t>
  </si>
  <si>
    <t>Measurement 3</t>
  </si>
  <si>
    <t>SD (n=3)</t>
  </si>
  <si>
    <t xml:space="preserve"> Diff. (n=2)</t>
  </si>
  <si>
    <t>not available</t>
  </si>
  <si>
    <t>AMOX-VYTH_W-T</t>
  </si>
  <si>
    <t>W17-W</t>
  </si>
  <si>
    <t>AMOX-VYTH_Y-T</t>
  </si>
  <si>
    <t>W17-Y</t>
  </si>
  <si>
    <t>NA</t>
  </si>
  <si>
    <t>lot_id</t>
  </si>
  <si>
    <t>lot_id3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</si>
</sst>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000000"/>
      <name val="Arial"/>
      <family val="2"/>
    </font>
    <font>
      <b/>
      <sz val="12"/>
      <color rgb="FF782170"/>
      <name val="Aptos Narrow"/>
      <family val="2"/>
    </font>
    <font>
      <sz val="11"/>
      <color rgb="FF000000"/>
      <name val="Arial"/>
      <family val="2"/>
    </font>
    <font>
      <b/>
      <sz val="12"/>
      <color theme="1"/>
      <name val="Aptos Narrow"/>
      <family val="2"/>
    </font>
    <font>
      <sz val="10"/>
      <name val="Courier"/>
      <family val="3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4" fillId="2" borderId="0" xfId="0" applyNumberFormat="1" applyFont="1" applyFill="1" applyAlignment="1">
      <alignment horizontal="left" vertical="center" wrapText="1"/>
    </xf>
    <xf numFmtId="0" fontId="3" fillId="0" borderId="0" xfId="0" applyFont="1"/>
    <xf numFmtId="1" fontId="2" fillId="2" borderId="2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1" fontId="4" fillId="2" borderId="2" xfId="0" applyNumberFormat="1" applyFont="1" applyFill="1" applyBorder="1" applyAlignment="1">
      <alignment horizontal="left" vertical="center" wrapText="1"/>
    </xf>
    <xf numFmtId="0" fontId="3" fillId="0" borderId="2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164" fontId="7" fillId="0" borderId="0" xfId="1" applyNumberFormat="1" applyFont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 vertical="center" wrapText="1"/>
    </xf>
    <xf numFmtId="1" fontId="7" fillId="0" borderId="0" xfId="1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" fontId="7" fillId="0" borderId="2" xfId="1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164" fontId="1" fillId="0" borderId="2" xfId="0" applyNumberFormat="1" applyFont="1" applyBorder="1" applyAlignment="1">
      <alignment horizontal="center"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164" fontId="1" fillId="3" borderId="0" xfId="0" applyNumberFormat="1" applyFont="1" applyFill="1" applyAlignment="1">
      <alignment horizontal="center" wrapText="1"/>
    </xf>
    <xf numFmtId="0" fontId="9" fillId="0" borderId="3" xfId="0" applyFont="1" applyBorder="1"/>
  </cellXfs>
  <cellStyles count="2">
    <cellStyle name="Normal" xfId="0" builtinId="0"/>
    <cellStyle name="Normal_Ethanols_13C_070424A" xfId="1" xr:uid="{7801E3AC-74E4-4EED-B5BA-A8724C15D8D7}"/>
  </cellStyles>
  <dxfs count="0"/>
  <tableStyles count="0" defaultTableStyle="TableStyleMedium2" defaultPivotStyle="PivotStyleLight16"/>
  <colors>
    <mruColors>
      <color rgb="FF6DE3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F1C2-20EA-4329-8BFA-3F823EB965CC}">
  <dimension ref="A1:L37"/>
  <sheetViews>
    <sheetView tabSelected="1" workbookViewId="0">
      <selection activeCell="H15" sqref="H15"/>
    </sheetView>
  </sheetViews>
  <sheetFormatPr defaultColWidth="10.88671875" defaultRowHeight="15"/>
  <cols>
    <col min="1" max="2" width="15.109375" style="1" customWidth="1"/>
    <col min="3" max="3" width="14.88671875" style="1" customWidth="1"/>
    <col min="4" max="7" width="10.88671875" style="1"/>
    <col min="8" max="8" width="12.88671875" style="1" customWidth="1"/>
    <col min="9" max="10" width="15.109375" style="1" customWidth="1"/>
    <col min="11" max="11" width="11.33203125" style="1" bestFit="1" customWidth="1"/>
    <col min="12" max="16384" width="10.88671875" style="1"/>
  </cols>
  <sheetData>
    <row r="1" spans="1:12" ht="15.75">
      <c r="A1" s="13" t="s">
        <v>86</v>
      </c>
      <c r="B1" s="14" t="s">
        <v>87</v>
      </c>
      <c r="C1" s="6" t="s">
        <v>61</v>
      </c>
      <c r="D1" s="6" t="s">
        <v>64</v>
      </c>
      <c r="E1" s="6" t="s">
        <v>62</v>
      </c>
      <c r="F1" s="6" t="s">
        <v>63</v>
      </c>
      <c r="G1" s="6" t="s">
        <v>72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</row>
    <row r="2" spans="1:12" ht="15.75">
      <c r="A2" s="11" t="s">
        <v>0</v>
      </c>
      <c r="B2" s="12" t="s">
        <v>1</v>
      </c>
      <c r="C2" s="7" t="s">
        <v>44</v>
      </c>
      <c r="D2" s="9">
        <v>-16.809999999999999</v>
      </c>
      <c r="E2" s="9">
        <v>1.1399999999999999</v>
      </c>
      <c r="F2" s="4">
        <v>3</v>
      </c>
      <c r="G2" s="4" t="s">
        <v>73</v>
      </c>
      <c r="H2" s="31">
        <v>-18.03037516509098</v>
      </c>
      <c r="I2" s="31">
        <v>-15.766547828078849</v>
      </c>
      <c r="J2" s="31">
        <v>-16.64340154706672</v>
      </c>
      <c r="K2" s="9">
        <f t="shared" ref="K2:K13" si="0">STDEV(H2:J2)</f>
        <v>1.1414524718826158</v>
      </c>
    </row>
    <row r="3" spans="1:12" ht="15.75">
      <c r="A3" s="11" t="s">
        <v>2</v>
      </c>
      <c r="B3" s="12" t="s">
        <v>3</v>
      </c>
      <c r="C3" s="7" t="s">
        <v>45</v>
      </c>
      <c r="D3" s="9">
        <v>-32.659999999999997</v>
      </c>
      <c r="E3" s="9">
        <v>1.71</v>
      </c>
      <c r="F3" s="4">
        <v>2</v>
      </c>
      <c r="G3" s="4" t="s">
        <v>73</v>
      </c>
      <c r="H3" s="32">
        <v>-26.053854770054588</v>
      </c>
      <c r="I3" s="9">
        <v>-31.806887026042457</v>
      </c>
      <c r="J3" s="9">
        <v>-33.516402995030319</v>
      </c>
      <c r="K3" s="32">
        <f t="shared" si="0"/>
        <v>3.9095918584243798</v>
      </c>
      <c r="L3" s="9">
        <f>ABS(I3-J3)</f>
        <v>1.7095159689878621</v>
      </c>
    </row>
    <row r="4" spans="1:12" ht="15.75">
      <c r="A4" s="11" t="s">
        <v>4</v>
      </c>
      <c r="B4" s="12" t="s">
        <v>5</v>
      </c>
      <c r="C4" s="7" t="s">
        <v>46</v>
      </c>
      <c r="D4" s="9">
        <v>-24.18</v>
      </c>
      <c r="E4" s="9">
        <v>2.14</v>
      </c>
      <c r="F4" s="4">
        <v>3</v>
      </c>
      <c r="G4" s="4" t="s">
        <v>73</v>
      </c>
      <c r="H4" s="9">
        <v>-26.630319316018195</v>
      </c>
      <c r="I4" s="9">
        <v>-22.667528749006063</v>
      </c>
      <c r="J4" s="9">
        <v>-23.247075089993931</v>
      </c>
      <c r="K4" s="9">
        <f t="shared" si="0"/>
        <v>2.1403241394813417</v>
      </c>
    </row>
    <row r="5" spans="1:12" ht="15.75">
      <c r="A5" s="11" t="s">
        <v>6</v>
      </c>
      <c r="B5" s="12" t="s">
        <v>7</v>
      </c>
      <c r="C5" s="7" t="s">
        <v>47</v>
      </c>
      <c r="D5" s="9">
        <v>-21.85</v>
      </c>
      <c r="E5" s="9">
        <v>2.73</v>
      </c>
      <c r="F5" s="4">
        <v>3</v>
      </c>
      <c r="G5" s="4" t="s">
        <v>73</v>
      </c>
      <c r="H5" s="9">
        <v>-24.2265731569818</v>
      </c>
      <c r="I5" s="9">
        <v>-18.865518577969667</v>
      </c>
      <c r="J5" s="9">
        <v>-22.469628724957534</v>
      </c>
      <c r="K5" s="9">
        <f t="shared" si="0"/>
        <v>2.7330498802616368</v>
      </c>
    </row>
    <row r="6" spans="1:12" ht="15.75">
      <c r="A6" s="11" t="s">
        <v>8</v>
      </c>
      <c r="B6" s="12" t="s">
        <v>9</v>
      </c>
      <c r="C6" s="7" t="s">
        <v>48</v>
      </c>
      <c r="D6" s="9">
        <v>-24.2</v>
      </c>
      <c r="E6" s="9">
        <v>1.28</v>
      </c>
      <c r="F6" s="4">
        <v>3</v>
      </c>
      <c r="G6" s="4" t="s">
        <v>73</v>
      </c>
      <c r="H6" s="9">
        <v>-23.200439779945405</v>
      </c>
      <c r="I6" s="9">
        <v>-25.637193937933272</v>
      </c>
      <c r="J6" s="9">
        <v>-23.753852028921141</v>
      </c>
      <c r="K6" s="9">
        <f t="shared" si="0"/>
        <v>1.2774331482853285</v>
      </c>
    </row>
    <row r="7" spans="1:12" ht="15.75">
      <c r="A7" s="15" t="s">
        <v>10</v>
      </c>
      <c r="B7" s="16" t="s">
        <v>11</v>
      </c>
      <c r="C7" s="8" t="s">
        <v>49</v>
      </c>
      <c r="D7" s="17">
        <v>-25.72</v>
      </c>
      <c r="E7" s="17">
        <v>1.08</v>
      </c>
      <c r="F7" s="18">
        <v>3</v>
      </c>
      <c r="G7" s="18" t="s">
        <v>73</v>
      </c>
      <c r="H7" s="17">
        <v>-24.596960994909008</v>
      </c>
      <c r="I7" s="17">
        <v>-26.744125376896879</v>
      </c>
      <c r="J7" s="17">
        <v>-25.818455975884746</v>
      </c>
      <c r="K7" s="17">
        <f t="shared" si="0"/>
        <v>1.0769732828469203</v>
      </c>
      <c r="L7" s="36"/>
    </row>
    <row r="8" spans="1:12" ht="15.75">
      <c r="A8" s="11" t="s">
        <v>12</v>
      </c>
      <c r="B8" s="12" t="s">
        <v>13</v>
      </c>
      <c r="C8" s="7" t="s">
        <v>50</v>
      </c>
      <c r="D8" s="9">
        <v>-24.48</v>
      </c>
      <c r="E8" s="9">
        <v>0.97</v>
      </c>
      <c r="F8" s="4">
        <v>3</v>
      </c>
      <c r="G8" s="4" t="s">
        <v>73</v>
      </c>
      <c r="H8" s="9">
        <v>-24.895864275629982</v>
      </c>
      <c r="I8" s="9">
        <v>-23.368390218112651</v>
      </c>
      <c r="J8" s="9">
        <v>-25.168325486595322</v>
      </c>
      <c r="K8" s="9">
        <f t="shared" si="0"/>
        <v>0.9701528297642027</v>
      </c>
    </row>
    <row r="9" spans="1:12" ht="15.75">
      <c r="A9" s="11" t="s">
        <v>14</v>
      </c>
      <c r="B9" s="12" t="s">
        <v>15</v>
      </c>
      <c r="C9" s="7" t="s">
        <v>51</v>
      </c>
      <c r="D9" s="9">
        <v>-23.73</v>
      </c>
      <c r="E9" s="9">
        <v>3.6</v>
      </c>
      <c r="F9" s="4">
        <v>3</v>
      </c>
      <c r="G9" s="4" t="s">
        <v>73</v>
      </c>
      <c r="H9" s="32">
        <v>-19.763522604077991</v>
      </c>
      <c r="I9" s="9">
        <v>-24.61601708856066</v>
      </c>
      <c r="J9" s="9">
        <v>-26.803256843043329</v>
      </c>
      <c r="K9" s="32">
        <f t="shared" si="0"/>
        <v>3.6029751276036905</v>
      </c>
      <c r="L9" s="9">
        <f>ABS(I9-J9)</f>
        <v>2.1872397544826683</v>
      </c>
    </row>
    <row r="10" spans="1:12" ht="15.75">
      <c r="A10" s="11" t="s">
        <v>16</v>
      </c>
      <c r="B10" s="12" t="s">
        <v>17</v>
      </c>
      <c r="C10" s="7" t="s">
        <v>52</v>
      </c>
      <c r="D10" s="9">
        <v>-25.36</v>
      </c>
      <c r="E10" s="9">
        <v>0.24</v>
      </c>
      <c r="F10" s="4">
        <v>3</v>
      </c>
      <c r="G10" s="4" t="s">
        <v>73</v>
      </c>
      <c r="H10" s="9">
        <v>-25.369227932525995</v>
      </c>
      <c r="I10" s="9">
        <v>-25.595391737008661</v>
      </c>
      <c r="J10" s="9">
        <v>-25.113280452491338</v>
      </c>
      <c r="K10" s="9">
        <f t="shared" si="0"/>
        <v>0.24120892384442308</v>
      </c>
    </row>
    <row r="11" spans="1:12" ht="15.75">
      <c r="A11" s="11" t="s">
        <v>18</v>
      </c>
      <c r="B11" s="12" t="s">
        <v>19</v>
      </c>
      <c r="C11" s="7" t="s">
        <v>53</v>
      </c>
      <c r="D11" s="9">
        <v>-23.37</v>
      </c>
      <c r="E11" s="9">
        <v>1.73</v>
      </c>
      <c r="F11" s="4">
        <v>3</v>
      </c>
      <c r="G11" s="4" t="s">
        <v>73</v>
      </c>
      <c r="H11" s="9">
        <v>-25.368235256974003</v>
      </c>
      <c r="I11" s="9">
        <v>-22.223259588456671</v>
      </c>
      <c r="J11" s="9">
        <v>-22.527705050939339</v>
      </c>
      <c r="K11" s="9">
        <f t="shared" si="0"/>
        <v>1.7345590624415024</v>
      </c>
    </row>
    <row r="12" spans="1:12" ht="15.75">
      <c r="A12" s="11" t="s">
        <v>20</v>
      </c>
      <c r="B12" s="12" t="s">
        <v>21</v>
      </c>
      <c r="C12" s="7" t="s">
        <v>54</v>
      </c>
      <c r="D12" s="9">
        <v>-21.06</v>
      </c>
      <c r="E12" s="9">
        <v>0.28999999999999998</v>
      </c>
      <c r="F12" s="4">
        <v>3</v>
      </c>
      <c r="G12" s="4" t="s">
        <v>73</v>
      </c>
      <c r="H12" s="9">
        <v>-20.959725554422011</v>
      </c>
      <c r="I12" s="9">
        <v>-20.840857746904682</v>
      </c>
      <c r="J12" s="9">
        <v>-21.383592178387349</v>
      </c>
      <c r="K12" s="9">
        <f t="shared" si="0"/>
        <v>0.28529316316512182</v>
      </c>
    </row>
    <row r="13" spans="1:12" s="3" customFormat="1" ht="16.5" thickBot="1">
      <c r="A13" s="19" t="s">
        <v>22</v>
      </c>
      <c r="B13" s="20" t="s">
        <v>23</v>
      </c>
      <c r="C13" s="21" t="s">
        <v>55</v>
      </c>
      <c r="D13" s="10">
        <v>-19.829999999999998</v>
      </c>
      <c r="E13" s="10">
        <v>0.97</v>
      </c>
      <c r="F13" s="5">
        <v>3</v>
      </c>
      <c r="G13" s="5" t="s">
        <v>73</v>
      </c>
      <c r="H13" s="10">
        <v>-20.931148798870019</v>
      </c>
      <c r="I13" s="10">
        <v>-19.10719285635269</v>
      </c>
      <c r="J13" s="10">
        <v>-19.459729574835357</v>
      </c>
      <c r="K13" s="10">
        <f t="shared" si="0"/>
        <v>0.96748574072020777</v>
      </c>
    </row>
    <row r="14" spans="1:12" ht="15.75">
      <c r="A14" s="25" t="s">
        <v>24</v>
      </c>
      <c r="B14" s="12" t="s">
        <v>25</v>
      </c>
      <c r="C14" s="7" t="s">
        <v>56</v>
      </c>
      <c r="D14" s="22">
        <v>-15.8</v>
      </c>
      <c r="E14" s="22">
        <v>2.94</v>
      </c>
      <c r="F14" s="26">
        <v>2</v>
      </c>
      <c r="G14" s="4" t="s">
        <v>74</v>
      </c>
      <c r="H14" s="9">
        <v>-17.26873813968804</v>
      </c>
      <c r="I14" s="9" t="s">
        <v>85</v>
      </c>
      <c r="J14" s="9">
        <v>-14.330114558771232</v>
      </c>
      <c r="K14" s="4" t="s">
        <v>80</v>
      </c>
      <c r="L14" s="9">
        <f>ABS(H14-J14)</f>
        <v>2.9386235809168078</v>
      </c>
    </row>
    <row r="15" spans="1:12" ht="15.75">
      <c r="A15" s="25" t="s">
        <v>26</v>
      </c>
      <c r="B15" s="12" t="s">
        <v>27</v>
      </c>
      <c r="C15" s="7" t="s">
        <v>57</v>
      </c>
      <c r="D15" s="22">
        <v>-18.27</v>
      </c>
      <c r="E15" s="22">
        <v>0.33</v>
      </c>
      <c r="F15" s="26">
        <v>3</v>
      </c>
      <c r="G15" s="4" t="s">
        <v>74</v>
      </c>
      <c r="H15" s="9">
        <v>-18.655532090812823</v>
      </c>
      <c r="I15" s="9">
        <v>-18.05397167585442</v>
      </c>
      <c r="J15" s="9">
        <v>-18.111074681896014</v>
      </c>
      <c r="K15" s="9">
        <f t="shared" ref="K15:K22" si="1">STDEV(H15:J15)</f>
        <v>0.33205661070273285</v>
      </c>
    </row>
    <row r="16" spans="1:12" ht="15.75">
      <c r="A16" s="25" t="s">
        <v>28</v>
      </c>
      <c r="B16" s="12" t="s">
        <v>29</v>
      </c>
      <c r="C16" s="7" t="s">
        <v>58</v>
      </c>
      <c r="D16" s="22">
        <v>-16.23</v>
      </c>
      <c r="E16" s="22">
        <v>2.1800000000000002</v>
      </c>
      <c r="F16" s="26">
        <v>3</v>
      </c>
      <c r="G16" s="4" t="s">
        <v>74</v>
      </c>
      <c r="H16" s="9">
        <v>-14.083307648937609</v>
      </c>
      <c r="I16" s="9">
        <v>-18.446496870979203</v>
      </c>
      <c r="J16" s="9">
        <v>-16.156770530020793</v>
      </c>
      <c r="K16" s="9">
        <f t="shared" si="1"/>
        <v>2.1824876946216265</v>
      </c>
    </row>
    <row r="17" spans="1:12" s="2" customFormat="1" ht="15.75">
      <c r="A17" s="25" t="s">
        <v>30</v>
      </c>
      <c r="B17" s="12" t="s">
        <v>31</v>
      </c>
      <c r="C17" s="7" t="s">
        <v>59</v>
      </c>
      <c r="D17" s="22">
        <v>-22.34</v>
      </c>
      <c r="E17" s="22">
        <v>1.24</v>
      </c>
      <c r="F17" s="26">
        <v>3</v>
      </c>
      <c r="G17" s="27" t="s">
        <v>74</v>
      </c>
      <c r="H17" s="33">
        <v>-23.563349894062391</v>
      </c>
      <c r="I17" s="33">
        <v>-22.364056635103985</v>
      </c>
      <c r="J17" s="33">
        <v>-21.080097136145579</v>
      </c>
      <c r="K17" s="9">
        <f t="shared" si="1"/>
        <v>1.2418669128674813</v>
      </c>
    </row>
    <row r="18" spans="1:12" s="2" customFormat="1" ht="15.75">
      <c r="A18" s="39" t="s">
        <v>81</v>
      </c>
      <c r="B18" s="12" t="s">
        <v>82</v>
      </c>
      <c r="C18" s="7" t="s">
        <v>60</v>
      </c>
      <c r="D18" s="22">
        <v>-25.28</v>
      </c>
      <c r="E18" s="22">
        <v>2.27</v>
      </c>
      <c r="F18" s="26">
        <v>3</v>
      </c>
      <c r="G18" s="27" t="s">
        <v>74</v>
      </c>
      <c r="H18" s="33">
        <v>-22.973652851187172</v>
      </c>
      <c r="I18" s="33">
        <v>-25.339670540228767</v>
      </c>
      <c r="J18" s="33">
        <v>-27.513041343270359</v>
      </c>
      <c r="K18" s="9">
        <f t="shared" si="1"/>
        <v>2.2703754547955519</v>
      </c>
    </row>
    <row r="19" spans="1:12" s="2" customFormat="1" ht="15.75">
      <c r="A19" s="39" t="s">
        <v>83</v>
      </c>
      <c r="B19" s="16" t="s">
        <v>84</v>
      </c>
      <c r="C19" s="28" t="s">
        <v>65</v>
      </c>
      <c r="D19" s="23">
        <v>-30.88</v>
      </c>
      <c r="E19" s="23">
        <v>0.82</v>
      </c>
      <c r="F19" s="29">
        <v>3</v>
      </c>
      <c r="G19" s="28" t="s">
        <v>74</v>
      </c>
      <c r="H19" s="35">
        <v>-30.044999136311951</v>
      </c>
      <c r="I19" s="35">
        <v>-30.904897896353546</v>
      </c>
      <c r="J19" s="35">
        <v>-31.686663606395143</v>
      </c>
      <c r="K19" s="17">
        <f t="shared" si="1"/>
        <v>0.82114206396248757</v>
      </c>
      <c r="L19" s="37"/>
    </row>
    <row r="20" spans="1:12" s="2" customFormat="1" ht="15.75">
      <c r="A20" s="25" t="s">
        <v>32</v>
      </c>
      <c r="B20" s="12" t="s">
        <v>33</v>
      </c>
      <c r="C20" s="27" t="s">
        <v>66</v>
      </c>
      <c r="D20" s="22">
        <v>-48.85</v>
      </c>
      <c r="E20" s="22">
        <v>1.85</v>
      </c>
      <c r="F20" s="26">
        <v>3</v>
      </c>
      <c r="G20" s="27" t="s">
        <v>74</v>
      </c>
      <c r="H20" s="33">
        <v>-50.329335821414205</v>
      </c>
      <c r="I20" s="33">
        <v>-49.447221135625647</v>
      </c>
      <c r="J20" s="33">
        <v>-46.782237617837083</v>
      </c>
      <c r="K20" s="33">
        <f t="shared" si="1"/>
        <v>1.8467164163630445</v>
      </c>
      <c r="L20" s="34"/>
    </row>
    <row r="21" spans="1:12" s="2" customFormat="1" ht="15.75">
      <c r="A21" s="25" t="s">
        <v>34</v>
      </c>
      <c r="B21" s="12" t="s">
        <v>35</v>
      </c>
      <c r="C21" s="27" t="s">
        <v>67</v>
      </c>
      <c r="D21" s="22">
        <v>-12.36</v>
      </c>
      <c r="E21" s="22">
        <v>3.3</v>
      </c>
      <c r="F21" s="26">
        <v>2</v>
      </c>
      <c r="G21" s="27" t="s">
        <v>74</v>
      </c>
      <c r="H21" s="33">
        <v>-14.015375164259961</v>
      </c>
      <c r="I21" s="33">
        <v>-10.7134982944714</v>
      </c>
      <c r="J21" s="38">
        <v>-4.990625640682838</v>
      </c>
      <c r="K21" s="38">
        <f t="shared" si="1"/>
        <v>4.5661757565463708</v>
      </c>
      <c r="L21" s="33">
        <f>ABS(H21-I21)</f>
        <v>3.3018768697885612</v>
      </c>
    </row>
    <row r="22" spans="1:12" s="2" customFormat="1" ht="15.75">
      <c r="A22" s="25" t="s">
        <v>36</v>
      </c>
      <c r="B22" s="12" t="s">
        <v>37</v>
      </c>
      <c r="C22" s="27" t="s">
        <v>68</v>
      </c>
      <c r="D22" s="24">
        <v>-3.29</v>
      </c>
      <c r="E22" s="24">
        <v>1.52</v>
      </c>
      <c r="F22" s="30">
        <v>3</v>
      </c>
      <c r="G22" s="27" t="s">
        <v>74</v>
      </c>
      <c r="H22" s="33">
        <v>-4.990625640682838</v>
      </c>
      <c r="I22" s="33">
        <v>-2.0613752328942758</v>
      </c>
      <c r="J22" s="33">
        <v>-2.8196816701057141</v>
      </c>
      <c r="K22" s="33">
        <f t="shared" si="1"/>
        <v>1.5203362746242979</v>
      </c>
    </row>
    <row r="23" spans="1:12" s="2" customFormat="1" ht="15.75">
      <c r="A23" s="25" t="s">
        <v>38</v>
      </c>
      <c r="B23" s="12" t="s">
        <v>39</v>
      </c>
      <c r="C23" s="27" t="s">
        <v>69</v>
      </c>
      <c r="D23" s="24">
        <v>-24.37</v>
      </c>
      <c r="E23" s="24">
        <v>0.17</v>
      </c>
      <c r="F23" s="30">
        <v>2</v>
      </c>
      <c r="G23" s="27" t="s">
        <v>74</v>
      </c>
      <c r="H23" s="38">
        <v>-16.846835609317154</v>
      </c>
      <c r="I23" s="33">
        <v>-24.458724495528593</v>
      </c>
      <c r="J23" s="33">
        <v>-24.290820625740032</v>
      </c>
      <c r="K23" s="38">
        <f t="shared" ref="K23:K25" si="2">STDEV(H23:J23)</f>
        <v>4.3470671540370587</v>
      </c>
      <c r="L23" s="33">
        <f>ABS(I23-J23)</f>
        <v>0.1679038697885602</v>
      </c>
    </row>
    <row r="24" spans="1:12" s="2" customFormat="1" ht="15.75">
      <c r="A24" s="25" t="s">
        <v>40</v>
      </c>
      <c r="B24" s="12" t="s">
        <v>41</v>
      </c>
      <c r="C24" s="27" t="s">
        <v>70</v>
      </c>
      <c r="D24" s="24">
        <v>-41.37</v>
      </c>
      <c r="E24" s="24">
        <v>2.8</v>
      </c>
      <c r="F24" s="30">
        <v>3</v>
      </c>
      <c r="G24" s="27" t="s">
        <v>74</v>
      </c>
      <c r="H24" s="33">
        <v>-38.609958039951465</v>
      </c>
      <c r="I24" s="33">
        <v>-44.205124792162906</v>
      </c>
      <c r="J24" s="33">
        <v>-41.288969552374347</v>
      </c>
      <c r="K24" s="33">
        <f t="shared" si="2"/>
        <v>2.798420835974369</v>
      </c>
    </row>
    <row r="25" spans="1:12" s="2" customFormat="1" ht="15.75">
      <c r="A25" s="25" t="s">
        <v>42</v>
      </c>
      <c r="B25" s="12" t="s">
        <v>43</v>
      </c>
      <c r="C25" s="27" t="s">
        <v>71</v>
      </c>
      <c r="D25" s="24">
        <v>-32.04</v>
      </c>
      <c r="E25" s="24">
        <v>2.4900000000000002</v>
      </c>
      <c r="F25" s="30">
        <v>3</v>
      </c>
      <c r="G25" s="27" t="s">
        <v>74</v>
      </c>
      <c r="H25" s="33">
        <v>-34.634578812585779</v>
      </c>
      <c r="I25" s="33">
        <v>-31.80883856079722</v>
      </c>
      <c r="J25" s="33">
        <v>-29.672173993008663</v>
      </c>
      <c r="K25" s="33">
        <f t="shared" si="2"/>
        <v>2.4891633480342792</v>
      </c>
    </row>
    <row r="34" spans="1:2" s="2" customFormat="1">
      <c r="A34" s="1"/>
      <c r="B34" s="1"/>
    </row>
    <row r="35" spans="1:2" s="2" customFormat="1">
      <c r="A35" s="1"/>
      <c r="B35" s="1"/>
    </row>
    <row r="36" spans="1:2" s="2" customFormat="1">
      <c r="A36" s="1"/>
      <c r="B36" s="1"/>
    </row>
    <row r="37" spans="1:2" s="2" customFormat="1">
      <c r="A37" s="1"/>
      <c r="B37" s="1"/>
    </row>
  </sheetData>
  <phoneticPr fontId="8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IRMS_Fera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 Ha</dc:creator>
  <cp:lastModifiedBy>Carla Perez Mon</cp:lastModifiedBy>
  <dcterms:created xsi:type="dcterms:W3CDTF">2025-07-02T16:07:54Z</dcterms:created>
  <dcterms:modified xsi:type="dcterms:W3CDTF">2025-12-04T10:46:49Z</dcterms:modified>
</cp:coreProperties>
</file>